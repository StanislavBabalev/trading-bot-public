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Summary" sheetId="1" r:id="rId1"/>
    <sheet name="Strategies" sheetId="2" r:id="rId2"/>
    <sheet name="Parameters" sheetId="3" r:id="rId3"/>
    <sheet name="Quarters" sheetId="4" r:id="rId4"/>
    <sheet name="Optimization" sheetId="5" r:id="rId5"/>
    <sheet name="Top trials" sheetId="6" r:id="rId6"/>
    <sheet name="Slippage" sheetId="7" r:id="rId7"/>
    <sheet name="Locked OOS" sheetId="8" r:id="rId8"/>
    <sheet name="Cycles" sheetId="9" r:id="rId9"/>
    <sheet name="Settings" sheetId="10" r:id="rId10"/>
  </sheets>
  <definedNames>
    <definedName name="_xlnm._FilterDatabase" localSheetId="1" hidden="1">'Strategies'!$A$1:$AU$40</definedName>
    <definedName name="_xlnm._FilterDatabase" localSheetId="2" hidden="1">'Parameters'!$A$1:$L$126</definedName>
    <definedName name="_xlnm._FilterDatabase" localSheetId="3" hidden="1">'Quarters'!$A$1:$N$161</definedName>
    <definedName name="_xlnm._FilterDatabase" localSheetId="4" hidden="1">'Optimization'!$A$1:$Q$3</definedName>
    <definedName name="_xlnm._FilterDatabase" localSheetId="5" hidden="1">'Top trials'!$A$1:$I$32</definedName>
    <definedName name="_xlnm._FilterDatabase" localSheetId="6" hidden="1">'Slippage'!$A$1:$I$6</definedName>
    <definedName name="_xlnm._FilterDatabase" localSheetId="7" hidden="1">'Locked OOS'!$A$1:$G$29</definedName>
    <definedName name="_xlnm._FilterDatabase" localSheetId="8" hidden="1">'Cycles'!$A$1:$S$13</definedName>
  </definedNames>
  <calcPr calcId="191029" fullCalcOnLoad="1"/>
</workbook>
</file>

<file path=xl/styles.xml><?xml version="1.0" encoding="utf-8"?>
<styleSheet xmlns="http://schemas.openxmlformats.org/spreadsheetml/2006/main">
  <numFmts count="1">
    <numFmt numFmtId="164" formatCode="$#,##0.00;-$#,##0.00"/>
  </numFmts>
  <fonts count="3">
    <font>
      <sz val="10"/>
      <name val="Arial"/>
      <family val="2"/>
    </font>
    <font>
      <b/>
      <sz val="10"/>
      <name val="Arial"/>
      <family val="2"/>
    </font>
    <font>
      <b/>
      <sz val="14"/>
      <name val="Arial"/>
      <family val="2"/>
    </font>
  </fonts>
  <fills count="3">
    <fill>
      <patternFill patternType="none"/>
    </fill>
    <fill>
      <patternFill patternType="gray125"/>
    </fill>
    <fill>
      <patternFill patternType="solid">
        <fgColor rgb="FFE8E8E4"/>
        <bgColor indexed="64"/>
      </patternFill>
    </fill>
  </fills>
  <borders count="2">
    <border>
      <left/>
      <right/>
      <top/>
      <bottom/>
      <diagonal/>
    </border>
    <border>
      <left/>
      <right/>
      <top/>
      <bottom style="thin">
        <color rgb="FF9A9A9A"/>
      </bottom>
      <diagonal/>
    </border>
  </borders>
  <cellStyleXfs count="1">
    <xf numFmtId="0" fontId="0" fillId="0" borderId="0"/>
  </cellStyleXfs>
  <cellXfs count="10">
    <xf numFmtId="0" fontId="0" fillId="0" borderId="0" xfId="0" applyAlignment="1">
      <alignment vertical="top"/>
    </xf>
    <xf numFmtId="0" fontId="1" fillId="2" borderId="1" xfId="0" applyFont="1" applyFill="1" applyBorder="1" applyAlignment="1">
      <alignment vertical="top" wrapText="1"/>
    </xf>
    <xf numFmtId="0" fontId="2" fillId="0" borderId="0" xfId="0" applyFont="1"/>
    <xf numFmtId="0" fontId="1" fillId="0" borderId="0" xfId="0" applyFont="1" applyAlignment="1">
      <alignment vertical="top"/>
    </xf>
    <xf numFmtId="0" fontId="0" fillId="0" borderId="0" xfId="0" applyAlignment="1">
      <alignment vertical="top" wrapText="1"/>
    </xf>
    <xf numFmtId="2" fontId="0" fillId="0" borderId="0" xfId="0" applyNumberFormat="1" applyAlignment="1">
      <alignment vertical="top"/>
    </xf>
    <xf numFmtId="3" fontId="0" fillId="0" borderId="0" xfId="0" applyNumberFormat="1" applyAlignment="1">
      <alignment vertical="top"/>
    </xf>
    <xf numFmtId="10" fontId="0" fillId="0" borderId="0" xfId="0" applyNumberFormat="1" applyAlignment="1">
      <alignment vertical="top"/>
    </xf>
    <xf numFmtId="164" fontId="0" fillId="0" borderId="0" xfId="0" applyNumberFormat="1" applyAlignment="1">
      <alignment vertical="top"/>
    </xf>
    <xf numFmtId="0" fontId="0" fillId="0" borderId="0" xfId="0" applyAlignment="1">
      <alignment horizontal="righ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tyles" Target="styles.xml"/></Relationships>
</file>

<file path=xl/worksheets/sheet1.xml><?xml version="1.0" encoding="utf-8"?>
<worksheet xmlns="http://schemas.openxmlformats.org/spreadsheetml/2006/main">
  <sheetViews>
    <sheetView workbookViewId="0"/>
  </sheetViews>
  <sheetFormatPr defaultRowHeight="13.2"/>
  <cols>
    <col min="1" max="1" width="34" customWidth="1"/>
    <col min="2" max="2" width="24" customWidth="1"/>
    <col min="3" max="3" width="8" customWidth="1"/>
    <col min="4" max="4" width="11" customWidth="1"/>
    <col min="5" max="5" width="9" customWidth="1"/>
    <col min="6" max="6" width="9" customWidth="1"/>
    <col min="7" max="7" width="11" customWidth="1"/>
    <col min="8" max="8" width="10" customWidth="1"/>
    <col min="9" max="9" width="11" customWidth="1"/>
    <col min="10" max="10" width="11" customWidth="1"/>
    <col min="11" max="11" width="70" customWidth="1"/>
  </cols>
  <sheetData>
    <row r="1">
      <c r="A1" s="2" t="inlineStr">
        <is>
          <t xml:space="preserve">Hunt results export</t>
        </is>
      </c>
    </row>
    <row r="2">
      <c r="A2" t="inlineStr">
        <is>
          <t xml:space="preserve">Exported 2026-10-27 18:53 UTC from artifacts/hunt/cycle_*/report.json. A snapshot of saved results: re-run `dotnet run --project src/Backtester.Cli -- export` to refresh.</t>
        </is>
      </c>
    </row>
    <row r="3"/>
    <row r="4">
      <c r="A4" s="1" t="inlineStr">
        <is>
          <t xml:space="preserve">Headline</t>
        </is>
      </c>
      <c r="B4" s="1" t="inlineStr">
        <is>
          <t xml:space="preserve">Value</t>
        </is>
      </c>
      <c r="C4" s="1" t="inlineStr">
        <is>
          <t xml:space="preserve">Notes</t>
        </is>
      </c>
    </row>
    <row r="5">
      <c r="A5" t="inlineStr">
        <is>
          <t xml:space="preserve">Hunt cycles with results</t>
        </is>
      </c>
      <c r="B5" t="inlineStr">
        <is>
          <t xml:space="preserve">3 → 12 (10 cycles)</t>
        </is>
      </c>
      <c r="C5" t="inlineStr">
        <is>
          <t xml:space="preserve">Cycles 1–2 were the data and engine audits (see Cycles).</t>
        </is>
      </c>
    </row>
    <row r="6">
      <c r="A6" t="inlineStr">
        <is>
          <t xml:space="preserve">Hypotheses tested</t>
        </is>
      </c>
      <c r="B6" s="6">
        <f>COUNTA('Strategies'!$C$2:$C$40)</f>
        <v>39</v>
      </c>
      <c r="C6" t="inlineStr">
        <is>
          <t xml:space="preserve">One row each on the Strategies sheet.</t>
        </is>
      </c>
    </row>
    <row r="7">
      <c r="A7" t="inlineStr">
        <is>
          <t xml:space="preserve">Passed every rule</t>
        </is>
      </c>
      <c r="B7" s="6">
        <f>COUNTIF('Strategies'!$F$2:$F$40,"PASSED")</f>
        <v>0</v>
      </c>
      <c r="C7" t="inlineStr">
        <is>
          <t xml:space="preserve">A pass needs every kill rule, a plateau optimum and the single locked out-of-sample run.</t>
        </is>
      </c>
    </row>
    <row r="8">
      <c r="A8" t="inlineStr">
        <is>
          <t xml:space="preserve">Reached the locked OOS run</t>
        </is>
      </c>
      <c r="B8" s="6">
        <f>COUNT('Strategies'!$AL$2:$AL$40)</f>
        <v>1</v>
      </c>
      <c r="C8" t="inlineStr">
        <is>
          <t xml:space="preserve">Out-of-sample window used once per surviving candidate.</t>
        </is>
      </c>
    </row>
    <row r="9">
      <c r="A9" t="inlineStr">
        <is>
          <t xml:space="preserve">Champion</t>
        </is>
      </c>
      <c r="B9" t="inlineStr">
        <is>
          <t xml:space="preserve">none</t>
        </is>
      </c>
      <c r="C9" t="inlineStr">
        <is>
          <t xml:space="preserve">From the latest cycle report.</t>
        </is>
      </c>
    </row>
    <row r="10">
      <c r="A10" t="inlineStr">
        <is>
          <t xml:space="preserve">Parameter sets evaluated (cumulative)</t>
        </is>
      </c>
      <c r="B10" s="6">
        <v>312</v>
      </c>
      <c r="C10" t="inlineStr">
        <is>
          <t xml:space="preserve">Every optimizer evaluation counts; it deflates the Sharpe bar.</t>
        </is>
      </c>
    </row>
    <row r="11">
      <c r="A11" t="inlineStr">
        <is>
          <t xml:space="preserve">Luck bar (annualized Sharpe)</t>
        </is>
      </c>
      <c r="B11" s="5">
        <v>1.1230466688532772</v>
      </c>
      <c r="C11" t="inlineStr">
        <is>
          <t xml:space="preserve">Best Sharpe expected from 312 trials with no real edge (deflated-Sharpe expected maximum).</t>
        </is>
      </c>
    </row>
    <row r="12">
      <c r="A12" t="inlineStr">
        <is>
          <t xml:space="preserve">Best development Sharpe</t>
        </is>
      </c>
      <c r="B12" s="5">
        <f>MAX('Strategies'!$P$2:$P$40)</f>
        <v>0.9807741478776408</v>
      </c>
      <c r="C12" t="inlineStr">
        <is>
          <t xml:space="preserve">On 2021–2023 data; kill bar is 0.50.</t>
        </is>
      </c>
    </row>
    <row r="13">
      <c r="A13" t="inlineStr">
        <is>
          <t xml:space="preserve">  achieved by</t>
        </is>
      </c>
      <c r="B13" t="str">
        <f>INDEX('Strategies'!$C$2:$C$40,MATCH(MAX('Strategies'!$P$2:$P$40),'Strategies'!$P$2:$P$40,0))</f>
        <v>funding-fade-wide</v>
      </c>
    </row>
    <row r="14">
      <c r="A14" t="inlineStr">
        <is>
          <t xml:space="preserve">  in cycle</t>
        </is>
      </c>
      <c r="B14" s="6">
        <f>INDEX('Strategies'!$B$2:$B$40,MATCH(MAX('Strategies'!$P$2:$P$40),'Strategies'!$P$2:$P$40,0))</f>
        <v>8</v>
      </c>
    </row>
    <row r="15">
      <c r="A15" t="inlineStr">
        <is>
          <t xml:space="preserve">Buy &amp; hold, development window</t>
        </is>
      </c>
      <c r="B15" s="7">
        <v>0.4616821637757711</v>
      </c>
      <c r="C15" t="inlineStr">
        <is>
          <t xml:space="preserve">net · Sharpe 0.52 · max DD 77.2% · 2021-01-01 → 2024-01-01</t>
        </is>
      </c>
    </row>
    <row r="16">
      <c r="A16" t="inlineStr">
        <is>
          <t xml:space="preserve">Buy &amp; hold, locked OOS window</t>
        </is>
      </c>
      <c r="B16" s="7">
        <v>0.8906673113209236</v>
      </c>
      <c r="C16" t="inlineStr">
        <is>
          <t xml:space="preserve">net · Sharpe 0.71 · max DD 53.8% · 2024-01-01 → 2026-10-26</t>
        </is>
      </c>
    </row>
    <row r="17"/>
    <row r="18">
      <c r="A18" s="3" t="inlineStr">
        <is>
          <t xml:space="preserve">Top 10 by development Sharpe</t>
        </is>
      </c>
    </row>
    <row r="19">
      <c r="A19" s="1" t="inlineStr">
        <is>
          <t xml:space="preserve">Strategy</t>
        </is>
      </c>
      <c r="B19" s="1" t="inlineStr">
        <is>
          <t xml:space="preserve">Family</t>
        </is>
      </c>
      <c r="C19" s="1" t="inlineStr">
        <is>
          <t xml:space="preserve">Cycle</t>
        </is>
      </c>
      <c r="D19" s="1" t="inlineStr">
        <is>
          <t xml:space="preserve">Net %</t>
        </is>
      </c>
      <c r="E19" s="1" t="inlineStr">
        <is>
          <t xml:space="preserve">Profit factor</t>
        </is>
      </c>
      <c r="F19" s="1" t="inlineStr">
        <is>
          <t xml:space="preserve">Sharpe</t>
        </is>
      </c>
      <c r="G19" s="1" t="inlineStr">
        <is>
          <t xml:space="preserve">Max DD %</t>
        </is>
      </c>
      <c r="H19" s="1" t="inlineStr">
        <is>
          <t xml:space="preserve">Trades / yr</t>
        </is>
      </c>
      <c r="I19" s="1" t="inlineStr">
        <is>
          <t xml:space="preserve">Quarters passed (of 4)</t>
        </is>
      </c>
      <c r="J19" s="1" t="inlineStr">
        <is>
          <t xml:space="preserve">OOS net %</t>
        </is>
      </c>
      <c r="K19" s="1" t="inlineStr">
        <is>
          <t xml:space="preserve">Kill reasons</t>
        </is>
      </c>
    </row>
    <row r="20">
      <c r="A20" t="str">
        <f>IF('Strategies'!C2="","",'Strategies'!C2)</f>
        <v>funding-fade-wide</v>
      </c>
      <c r="B20" t="str">
        <f>IF('Strategies'!D2="","",'Strategies'!D2)</f>
        <v>funding-carry</v>
      </c>
      <c r="C20" s="6">
        <f>IF('Strategies'!B2="","",'Strategies'!B2)</f>
        <v>8</v>
      </c>
      <c r="D20" s="7">
        <f>IF('Strategies'!M2="","",'Strategies'!M2)</f>
        <v>0.21307525650227688</v>
      </c>
      <c r="E20" s="5">
        <f>IF('Strategies'!O2="","",'Strategies'!O2)</f>
        <v>1.3742214111168842</v>
      </c>
      <c r="F20" s="5">
        <f>IF('Strategies'!P2="","",'Strategies'!P2)</f>
        <v>0.9807741478776408</v>
      </c>
      <c r="G20" s="7">
        <f>IF('Strategies'!S2="","",'Strategies'!S2)</f>
        <v>0.054972412579062435</v>
      </c>
      <c r="H20" s="5">
        <f>IF('Strategies'!U2="","",'Strategies'!U2)</f>
        <v>66.04520547945206</v>
      </c>
      <c r="I20" s="6">
        <f>IF('Strategies'!AH2="","",'Strategies'!AH2)</f>
        <v>3</v>
      </c>
      <c r="J20" s="7">
        <f>IF('Strategies'!AL2="","",'Strategies'!AL2)</f>
        <v>-0.0016814470684750615</v>
      </c>
      <c r="K20" t="str">
        <f>IF('Strategies'!H2="","",'Strategies'!H2)</f>
        <v>PF 1.00 &lt; 1.10; Sharpe 0.02 &lt; 0.50</v>
      </c>
    </row>
    <row r="21">
      <c r="A21" t="str">
        <f>IF('Strategies'!C3="","",'Strategies'!C3)</f>
        <v>crowding-filtered-breakout</v>
      </c>
      <c r="B21" t="str">
        <f>IF('Strategies'!D3="","",'Strategies'!D3)</f>
        <v>funding-filtered-trend</v>
      </c>
      <c r="C21" s="6">
        <f>IF('Strategies'!B3="","",'Strategies'!B3)</f>
        <v>6</v>
      </c>
      <c r="D21" s="7">
        <f>IF('Strategies'!M3="","",'Strategies'!M3)</f>
        <v>0.15923662235654312</v>
      </c>
      <c r="E21" s="5">
        <f>IF('Strategies'!O3="","",'Strategies'!O3)</f>
        <v>1.4135226245952932</v>
      </c>
      <c r="F21" s="5">
        <f>IF('Strategies'!P3="","",'Strategies'!P3)</f>
        <v>0.8464304579235811</v>
      </c>
      <c r="G21" s="7">
        <f>IF('Strategies'!S3="","",'Strategies'!S3)</f>
        <v>0.052157462421531436</v>
      </c>
      <c r="H21" s="5">
        <f>IF('Strategies'!U3="","",'Strategies'!U3)</f>
        <v>48.03287671232877</v>
      </c>
      <c r="I21" s="6">
        <f>IF('Strategies'!AH3="","",'Strategies'!AH3)</f>
        <v>2</v>
      </c>
      <c r="J21" s="7">
        <f>IF('Strategies'!AL3="","",'Strategies'!AL3)</f>
      </c>
      <c r="K21" t="str">
        <f>IF('Strategies'!H3="","",'Strategies'!H3)</f>
        <v>48.0 trades/yr &lt; 50 (144 trades); walk-forward: 2 of 4 folds failed</v>
      </c>
    </row>
    <row r="22">
      <c r="A22" t="str">
        <f>IF('Strategies'!C4="","",'Strategies'!C4)</f>
        <v>funding-crowding-fade</v>
      </c>
      <c r="B22" t="str">
        <f>IF('Strategies'!D4="","",'Strategies'!D4)</f>
        <v>funding-carry</v>
      </c>
      <c r="C22" s="6">
        <f>IF('Strategies'!B4="","",'Strategies'!B4)</f>
        <v>5</v>
      </c>
      <c r="D22" s="7">
        <f>IF('Strategies'!M4="","",'Strategies'!M4)</f>
        <v>0.10482395649583598</v>
      </c>
      <c r="E22" s="5">
        <f>IF('Strategies'!O4="","",'Strategies'!O4)</f>
        <v>1.2323670698931102</v>
      </c>
      <c r="F22" s="5">
        <f>IF('Strategies'!P4="","",'Strategies'!P4)</f>
        <v>0.6057769594309661</v>
      </c>
      <c r="G22" s="7">
        <f>IF('Strategies'!S4="","",'Strategies'!S4)</f>
        <v>0.06312179646180756</v>
      </c>
      <c r="H22" s="5">
        <f>IF('Strategies'!U4="","",'Strategies'!U4)</f>
        <v>57.70616438356165</v>
      </c>
      <c r="I22" s="6">
        <f>IF('Strategies'!AH4="","",'Strategies'!AH4)</f>
        <v>3</v>
      </c>
      <c r="J22" s="7">
        <f>IF('Strategies'!AL4="","",'Strategies'!AL4)</f>
      </c>
      <c r="K22" t="str">
        <f>IF('Strategies'!H4="","",'Strategies'!H4)</f>
        <v>optimum on the search-range edge of quantile</v>
      </c>
    </row>
    <row r="23">
      <c r="A23" t="str">
        <f>IF('Strategies'!C5="","",'Strategies'!C5)</f>
        <v>max-min-daily</v>
      </c>
      <c r="B23" t="str">
        <f>IF('Strategies'!D5="","",'Strategies'!D5)</f>
        <v>daily-extremes</v>
      </c>
      <c r="C23" s="6">
        <f>IF('Strategies'!B5="","",'Strategies'!B5)</f>
        <v>6</v>
      </c>
      <c r="D23" s="7">
        <f>IF('Strategies'!M5="","",'Strategies'!M5)</f>
        <v>0.07325412483533889</v>
      </c>
      <c r="E23" s="5">
        <f>IF('Strategies'!O5="","",'Strategies'!O5)</f>
        <v>1.236422380212612</v>
      </c>
      <c r="F23" s="5">
        <f>IF('Strategies'!P5="","",'Strategies'!P5)</f>
        <v>0.6037208802608196</v>
      </c>
      <c r="G23" s="7">
        <f>IF('Strategies'!S5="","",'Strategies'!S5)</f>
        <v>0.04933481801148585</v>
      </c>
      <c r="H23" s="5">
        <f>IF('Strategies'!U5="","",'Strategies'!U5)</f>
        <v>68.71369863013699</v>
      </c>
      <c r="I23" s="6">
        <f>IF('Strategies'!AH5="","",'Strategies'!AH5)</f>
        <v>1</v>
      </c>
      <c r="J23" s="7">
        <f>IF('Strategies'!AL5="","",'Strategies'!AL5)</f>
      </c>
      <c r="K23" t="str">
        <f>IF('Strategies'!H5="","",'Strategies'!H5)</f>
        <v>walk-forward: 3 of 4 folds failed</v>
      </c>
    </row>
    <row r="24">
      <c r="A24" t="str">
        <f>IF('Strategies'!C6="","",'Strategies'!C6)</f>
        <v>cipher-a-ribbon</v>
      </c>
      <c r="B24" t="str">
        <f>IF('Strategies'!D6="","",'Strategies'!D6)</f>
        <v>ema-ribbon</v>
      </c>
      <c r="C24" s="6">
        <f>IF('Strategies'!B6="","",'Strategies'!B6)</f>
        <v>9</v>
      </c>
      <c r="D24" s="7">
        <f>IF('Strategies'!M6="","",'Strategies'!M6)</f>
        <v>0.2372495921185953</v>
      </c>
      <c r="E24" s="5">
        <f>IF('Strategies'!O6="","",'Strategies'!O6)</f>
        <v>1.223311476056923</v>
      </c>
      <c r="F24" s="5">
        <f>IF('Strategies'!P6="","",'Strategies'!P6)</f>
        <v>0.5669869804379919</v>
      </c>
      <c r="G24" s="7">
        <f>IF('Strategies'!S6="","",'Strategies'!S6)</f>
        <v>0.12315515564463278</v>
      </c>
      <c r="H24" s="5">
        <f>IF('Strategies'!U6="","",'Strategies'!U6)</f>
        <v>73.05000000000001</v>
      </c>
      <c r="I24" s="6">
        <f>IF('Strategies'!AH6="","",'Strategies'!AH6)</f>
        <v>1</v>
      </c>
      <c r="J24" s="7">
        <f>IF('Strategies'!AL6="","",'Strategies'!AL6)</f>
      </c>
      <c r="K24" t="str">
        <f>IF('Strategies'!H6="","",'Strategies'!H6)</f>
        <v>walk-forward: 3 of 4 folds failed</v>
      </c>
    </row>
    <row r="25">
      <c r="A25" t="str">
        <f>IF('Strategies'!C7="","",'Strategies'!C7)</f>
        <v>donchian-ensemble-trend</v>
      </c>
      <c r="B25" t="str">
        <f>IF('Strategies'!D7="","",'Strategies'!D7)</f>
        <v>trend-ensemble</v>
      </c>
      <c r="C25" s="6">
        <f>IF('Strategies'!B7="","",'Strategies'!B7)</f>
        <v>5</v>
      </c>
      <c r="D25" s="7">
        <f>IF('Strategies'!M7="","",'Strategies'!M7)</f>
        <v>0.0889122308498198</v>
      </c>
      <c r="E25" s="5">
        <f>IF('Strategies'!O7="","",'Strategies'!O7)</f>
        <v>1.2300481412129858</v>
      </c>
      <c r="F25" s="5">
        <f>IF('Strategies'!P7="","",'Strategies'!P7)</f>
        <v>0.48323996088628995</v>
      </c>
      <c r="G25" s="7">
        <f>IF('Strategies'!S7="","",'Strategies'!S7)</f>
        <v>0.07395099366946743</v>
      </c>
      <c r="H25" s="5">
        <f>IF('Strategies'!U7="","",'Strategies'!U7)</f>
        <v>42.36232876712329</v>
      </c>
      <c r="I25" s="6">
        <f>IF('Strategies'!AH7="","",'Strategies'!AH7)</f>
        <v>2</v>
      </c>
      <c r="J25" s="7">
        <f>IF('Strategies'!AL7="","",'Strategies'!AL7)</f>
      </c>
      <c r="K25" t="str">
        <f>IF('Strategies'!H7="","",'Strategies'!H7)</f>
        <v>Sharpe 0.48 &lt; 0.50; 42.4 trades/yr &lt; 50 (127 trades); walk-forward: 2 of 4 folds failed</v>
      </c>
    </row>
    <row r="26">
      <c r="A26" t="str">
        <f>IF('Strategies'!C8="","",'Strategies'!C8)</f>
        <v>supertrend</v>
      </c>
      <c r="B26" t="str">
        <f>IF('Strategies'!D8="","",'Strategies'!D8)</f>
        <v>atr-trend</v>
      </c>
      <c r="C26" s="6">
        <f>IF('Strategies'!B8="","",'Strategies'!B8)</f>
        <v>10</v>
      </c>
      <c r="D26" s="7">
        <f>IF('Strategies'!M8="","",'Strategies'!M8)</f>
        <v>0.28584243953394606</v>
      </c>
      <c r="E26" s="5">
        <f>IF('Strategies'!O8="","",'Strategies'!O8)</f>
        <v>1.1402035118899845</v>
      </c>
      <c r="F26" s="5">
        <f>IF('Strategies'!P8="","",'Strategies'!P8)</f>
        <v>0.4592400565169252</v>
      </c>
      <c r="G26" s="7">
        <f>IF('Strategies'!S8="","",'Strategies'!S8)</f>
        <v>0.35312773306503187</v>
      </c>
      <c r="H26" s="5">
        <f>IF('Strategies'!U8="","",'Strategies'!U8)</f>
        <v>109.4082191780822</v>
      </c>
      <c r="I26" s="6">
        <f>IF('Strategies'!AH8="","",'Strategies'!AH8)</f>
        <v>1</v>
      </c>
      <c r="J26" s="7">
        <f>IF('Strategies'!AL8="","",'Strategies'!AL8)</f>
      </c>
      <c r="K26" t="str">
        <f>IF('Strategies'!H8="","",'Strategies'!H8)</f>
        <v>Sharpe 0.46 &lt; 0.50; max DD 35.3% &gt; 30%; walk-forward: 3 of 4 folds failed</v>
      </c>
    </row>
    <row r="27">
      <c r="A27" t="str">
        <f>IF('Strategies'!C9="","",'Strategies'!C9)</f>
        <v>impulse-bar-continuation</v>
      </c>
      <c r="B27" t="str">
        <f>IF('Strategies'!D9="","",'Strategies'!D9)</f>
        <v>vol-state</v>
      </c>
      <c r="C27" s="6">
        <f>IF('Strategies'!B9="","",'Strategies'!B9)</f>
        <v>4</v>
      </c>
      <c r="D27" s="7">
        <f>IF('Strategies'!M9="","",'Strategies'!M9)</f>
        <v>0.17560134050587628</v>
      </c>
      <c r="E27" s="5">
        <f>IF('Strategies'!O9="","",'Strategies'!O9)</f>
        <v>1.069285552255742</v>
      </c>
      <c r="F27" s="5">
        <f>IF('Strategies'!P9="","",'Strategies'!P9)</f>
        <v>0.4316946599315036</v>
      </c>
      <c r="G27" s="7">
        <f>IF('Strategies'!S9="","",'Strategies'!S9)</f>
        <v>0.1731916567989699</v>
      </c>
      <c r="H27" s="5">
        <f>IF('Strategies'!U9="","",'Strategies'!U9)</f>
        <v>153.7719178082192</v>
      </c>
      <c r="I27" s="6">
        <f>IF('Strategies'!AH9="","",'Strategies'!AH9)</f>
        <v>3</v>
      </c>
      <c r="J27" s="7">
        <f>IF('Strategies'!AL9="","",'Strategies'!AL9)</f>
      </c>
      <c r="K27" t="str">
        <f>IF('Strategies'!H9="","",'Strategies'!H9)</f>
        <v>PF 1.07 &lt; 1.10; Sharpe 0.43 &lt; 0.50</v>
      </c>
    </row>
    <row r="28">
      <c r="A28" t="str">
        <f>IF('Strategies'!C10="","",'Strategies'!C10)</f>
        <v>keltner-breakout</v>
      </c>
      <c r="B28" t="str">
        <f>IF('Strategies'!D10="","",'Strategies'!D10)</f>
        <v>vol-breakout</v>
      </c>
      <c r="C28" s="6">
        <f>IF('Strategies'!B10="","",'Strategies'!B10)</f>
        <v>3</v>
      </c>
      <c r="D28" s="7">
        <f>IF('Strategies'!M10="","",'Strategies'!M10)</f>
        <v>0.20778103802976755</v>
      </c>
      <c r="E28" s="5">
        <f>IF('Strategies'!O10="","",'Strategies'!O10)</f>
        <v>1.0777426239321708</v>
      </c>
      <c r="F28" s="5">
        <f>IF('Strategies'!P10="","",'Strategies'!P10)</f>
        <v>0.411871910145701</v>
      </c>
      <c r="G28" s="7">
        <f>IF('Strategies'!S10="","",'Strategies'!S10)</f>
        <v>0.2501732892542991</v>
      </c>
      <c r="H28" s="5">
        <f>IF('Strategies'!U10="","",'Strategies'!U10)</f>
        <v>166.4472602739726</v>
      </c>
      <c r="I28" s="6">
        <f>IF('Strategies'!AH10="","",'Strategies'!AH10)</f>
        <v>2</v>
      </c>
      <c r="J28" s="7">
        <f>IF('Strategies'!AL10="","",'Strategies'!AL10)</f>
      </c>
      <c r="K28" t="str">
        <f>IF('Strategies'!H10="","",'Strategies'!H10)</f>
        <v>PF 1.08 &lt; 1.10; Sharpe 0.41 &lt; 0.50; walk-forward: 2 of 4 folds failed</v>
      </c>
    </row>
    <row r="29">
      <c r="A29" t="str">
        <f>IF('Strategies'!C11="","",'Strategies'!C11)</f>
        <v>funding-tilt</v>
      </c>
      <c r="B29" t="str">
        <f>IF('Strategies'!D11="","",'Strategies'!D11)</f>
        <v>funding-carry</v>
      </c>
      <c r="C29" s="6">
        <f>IF('Strategies'!B11="","",'Strategies'!B11)</f>
        <v>7</v>
      </c>
      <c r="D29" s="7">
        <f>IF('Strategies'!M11="","",'Strategies'!M11)</f>
        <v>0.07737830467398354</v>
      </c>
      <c r="E29" s="5">
        <f>IF('Strategies'!O11="","",'Strategies'!O11)</f>
        <v>1.1165656670798643</v>
      </c>
      <c r="F29" s="5">
        <f>IF('Strategies'!P11="","",'Strategies'!P11)</f>
        <v>0.3747284663479837</v>
      </c>
      <c r="G29" s="7">
        <f>IF('Strategies'!S11="","",'Strategies'!S11)</f>
        <v>0.08220136137025923</v>
      </c>
      <c r="H29" s="5">
        <f>IF('Strategies'!U11="","",'Strategies'!U11)</f>
        <v>74.71780821917808</v>
      </c>
      <c r="I29" s="6">
        <f>IF('Strategies'!AH11="","",'Strategies'!AH11)</f>
        <v>2</v>
      </c>
      <c r="J29" s="7">
        <f>IF('Strategies'!AL11="","",'Strategies'!AL11)</f>
      </c>
      <c r="K29" t="str">
        <f>IF('Strategies'!H11="","",'Strategies'!H11)</f>
        <v>Sharpe 0.37 &lt; 0.50; walk-forward: 2 of 4 folds failed</v>
      </c>
    </row>
    <row r="30"/>
    <row r="31">
      <c r="A31" s="3" t="inlineStr">
        <is>
          <t xml:space="preserve">Sheets</t>
        </is>
      </c>
    </row>
    <row r="32">
      <c r="A32" t="inlineStr">
        <is>
          <t xml:space="preserve">Strategies</t>
        </is>
      </c>
      <c r="B32" t="inlineStr">
        <is>
          <t xml:space="preserve">One row per hypothesis, ranked by development Sharpe: verdict, kill reasons, parameters, every dev metric, the walk-forward quarters, the locked OOS result, rules and artifact folders. Filter and sort freely.</t>
        </is>
      </c>
    </row>
    <row r="33">
      <c r="A33" t="inlineStr">
        <is>
          <t xml:space="preserve">Parameters</t>
        </is>
      </c>
      <c r="B33" t="inlineStr">
        <is>
          <t xml:space="preserve">Every parameter of every hypothesis: default, optimized value, and its search grid (searched in the cycle, or the registry grid when rejected before optimization).</t>
        </is>
      </c>
    </row>
    <row r="34">
      <c r="A34" t="inlineStr">
        <is>
          <t xml:space="preserve">Quarters</t>
        </is>
      </c>
      <c r="B34" t="inlineStr">
        <is>
          <t xml:space="preserve">The four walk-forward test quarters per hypothesis, for default and optimized parameters, with train and test windows.</t>
        </is>
      </c>
    </row>
    <row r="35">
      <c r="A35" t="inlineStr">
        <is>
          <t xml:space="preserve">Optimization</t>
        </is>
      </c>
      <c r="B35" t="inlineStr">
        <is>
          <t xml:space="preserve">Grid search summary for hypotheses that were optimized: grid size, evaluations, edge and plateau checks, best point.</t>
        </is>
      </c>
    </row>
    <row r="36">
      <c r="A36" t="inlineStr">
        <is>
          <t xml:space="preserve">Top trials</t>
        </is>
      </c>
      <c r="B36" t="inlineStr">
        <is>
          <t xml:space="preserve">The ten best parameter sets and the neighbours of the optimum for each optimized hypothesis.</t>
        </is>
      </c>
    </row>
    <row r="37">
      <c r="A37" t="inlineStr">
        <is>
          <t xml:space="preserve">Slippage</t>
        </is>
      </c>
      <c r="B37" t="inlineStr">
        <is>
          <t xml:space="preserve">Slippage sensitivity of optimized candidates (0x to 2x the base slippage).</t>
        </is>
      </c>
    </row>
    <row r="38">
      <c r="A38" t="inlineStr">
        <is>
          <t xml:space="preserve">Locked OOS</t>
        </is>
      </c>
      <c r="B38" t="inlineStr">
        <is>
          <t xml:space="preserve">Development vs locked out-of-sample vs buy &amp; hold for every candidate that reached the OOS run, plus trade distributions.</t>
        </is>
      </c>
    </row>
    <row r="39">
      <c r="A39" t="inlineStr">
        <is>
          <t xml:space="preserve">Cycles</t>
        </is>
      </c>
      <c r="B39" t="inlineStr">
        <is>
          <t xml:space="preserve">Per cycle: date, hypotheses, trial counts, luck bar, champion, buy &amp; hold, warnings, report and research-notes paths.</t>
        </is>
      </c>
    </row>
    <row r="40">
      <c r="A40" t="inlineStr">
        <is>
          <t xml:space="preserve">Settings</t>
        </is>
      </c>
      <c r="B40" t="inlineStr">
        <is>
          <t xml:space="preserve">Data, costs, sizing, risk, windows, engine conventions and the hunt rules every cycle used.</t>
        </is>
      </c>
    </row>
    <row r="41"/>
    <row r="42">
      <c r="A42" s="3" t="inlineStr">
        <is>
          <t xml:space="preserve">How to read</t>
        </is>
      </c>
    </row>
    <row r="43">
      <c r="A43" t="inlineStr">
        <is>
          <t xml:space="preserve">Development metrics use the optimized parameters where optimization ran, otherwise the defaults (column 'Metrics from').</t>
        </is>
      </c>
    </row>
    <row r="44">
      <c r="A44" t="inlineStr">
        <is>
          <t xml:space="preserve">A walk-forward quarter passes only if it makes money and its profit factor is at least the fold minimum; more than one failed quarter kills a hypothesis.</t>
        </is>
      </c>
    </row>
    <row r="45">
      <c r="A45" t="inlineStr">
        <is>
          <t xml:space="preserve">Percent columns are stored as fractions and formatted as %. Money is in USD on a $10,000 starting balance.</t>
        </is>
      </c>
    </row>
    <row r="46">
      <c r="A46" t="inlineStr">
        <is>
          <t xml:space="preserve">Max drawdown is measured on hourly bar-close equity; intrabar drawdowns are deeper.</t>
        </is>
      </c>
    </row>
    <row r="47">
      <c r="A47" t="inlineStr">
        <is>
          <t xml:space="preserve">Full trade lists and equity curves are in each run folder (trades.csv, equity.csv, result.json).</t>
        </is>
      </c>
    </row>
  </sheetData>
  <pageMargins left="0.5" right="0.5" top="0.75" bottom="0.75" header="0.3" footer="0.3"/>
</worksheet>
</file>

<file path=xl/worksheets/sheet2.xml><?xml version="1.0" encoding="utf-8"?>
<worksheet xmlns="http://schemas.openxmlformats.org/spreadsheetml/2006/main">
  <sheetViews>
    <sheetView workbookViewId="0">
      <pane xSplit="3" ySplit="1" topLeftCell="D2" activePane="bottomRight" state="frozen"/>
      <selection pane="bottomRight" activeCell="D2" sqref="D2"/>
    </sheetView>
  </sheetViews>
  <sheetFormatPr defaultRowHeight="13.2"/>
  <cols>
    <col min="1" max="1" width="8" customWidth="1"/>
    <col min="2" max="2" width="7" customWidth="1"/>
    <col min="3" max="3" width="28" customWidth="1"/>
    <col min="4" max="4" width="20" customWidth="1"/>
    <col min="5" max="5" width="9" customWidth="1"/>
    <col min="6" max="6" width="11" customWidth="1"/>
    <col min="7" max="7" width="14" customWidth="1"/>
    <col min="8" max="8" width="60" customWidth="1"/>
    <col min="9" max="9" width="11" customWidth="1"/>
    <col min="10" max="10" width="40" customWidth="1"/>
    <col min="11" max="11" width="40" customWidth="1"/>
    <col min="12" max="12" width="40" customWidth="1"/>
    <col min="13" max="13" width="10" customWidth="1"/>
    <col min="14" max="14" width="10" customWidth="1"/>
    <col min="15" max="15" width="9" customWidth="1"/>
    <col min="16" max="16" width="9" customWidth="1"/>
    <col min="17" max="17" width="9" customWidth="1"/>
    <col min="18" max="18" width="9" customWidth="1"/>
    <col min="19" max="19" width="10" customWidth="1"/>
    <col min="20" max="20" width="8" customWidth="1"/>
    <col min="21" max="21" width="9" customWidth="1"/>
    <col min="22" max="22" width="10" customWidth="1"/>
    <col min="23" max="23" width="11" customWidth="1"/>
    <col min="24" max="24" width="10" customWidth="1"/>
    <col min="25" max="25" width="9" customWidth="1"/>
    <col min="26" max="26" width="11" customWidth="1"/>
    <col min="27" max="27" width="11" customWidth="1"/>
    <col min="28" max="28" width="11" customWidth="1"/>
    <col min="29" max="29" width="12" customWidth="1"/>
    <col min="30" max="30" width="10" customWidth="1"/>
    <col min="31" max="31" width="10" customWidth="1"/>
    <col min="32" max="32" width="10" customWidth="1"/>
    <col min="33" max="33" width="10" customWidth="1"/>
    <col min="34" max="34" width="10" customWidth="1"/>
    <col min="35" max="35" width="10" customWidth="1"/>
    <col min="36" max="36" width="9" customWidth="1"/>
    <col min="37" max="37" width="9" customWidth="1"/>
    <col min="38" max="38" width="10" customWidth="1"/>
    <col min="39" max="39" width="9" customWidth="1"/>
    <col min="40" max="40" width="9" customWidth="1"/>
    <col min="41" max="41" width="10" customWidth="1"/>
    <col min="42" max="42" width="8" customWidth="1"/>
    <col min="43" max="43" width="10" customWidth="1"/>
    <col min="44" max="44" width="100" customWidth="1"/>
    <col min="45" max="45" width="52" customWidth="1"/>
    <col min="46" max="46" width="52" customWidth="1"/>
    <col min="47" max="47" width="34" customWidth="1"/>
  </cols>
  <sheetData>
    <row r="1">
      <c r="A1" s="1" t="inlineStr">
        <is>
          <t xml:space="preserve">Rank (dev Sharpe)</t>
        </is>
      </c>
      <c r="B1" s="1" t="inlineStr">
        <is>
          <t xml:space="preserve">Cycle</t>
        </is>
      </c>
      <c r="C1" s="1" t="inlineStr">
        <is>
          <t xml:space="preserve">Strategy</t>
        </is>
      </c>
      <c r="D1" s="1" t="inlineStr">
        <is>
          <t xml:space="preserve">Family</t>
        </is>
      </c>
      <c r="E1" s="1" t="inlineStr">
        <is>
          <t xml:space="preserve">Strategy version</t>
        </is>
      </c>
      <c r="F1" s="1" t="inlineStr">
        <is>
          <t xml:space="preserve">Verdict</t>
        </is>
      </c>
      <c r="G1" s="1" t="inlineStr">
        <is>
          <t xml:space="preserve">Stopped at</t>
        </is>
      </c>
      <c r="H1" s="1" t="inlineStr">
        <is>
          <t xml:space="preserve">Kill reasons</t>
        </is>
      </c>
      <c r="I1" s="1" t="inlineStr">
        <is>
          <t xml:space="preserve">Metrics from</t>
        </is>
      </c>
      <c r="J1" s="1" t="inlineStr">
        <is>
          <t xml:space="preserve">Parameters used</t>
        </is>
      </c>
      <c r="K1" s="1" t="inlineStr">
        <is>
          <t xml:space="preserve">Default parameters</t>
        </is>
      </c>
      <c r="L1" s="1" t="inlineStr">
        <is>
          <t xml:space="preserve">Optimized parameters</t>
        </is>
      </c>
      <c r="M1" s="1" t="inlineStr">
        <is>
          <t xml:space="preserve">Net %</t>
        </is>
      </c>
      <c r="N1" s="1" t="inlineStr">
        <is>
          <t xml:space="preserve">CAGR %</t>
        </is>
      </c>
      <c r="O1" s="1" t="inlineStr">
        <is>
          <t xml:space="preserve">Profit factor</t>
        </is>
      </c>
      <c r="P1" s="1" t="inlineStr">
        <is>
          <t xml:space="preserve">Sharpe</t>
        </is>
      </c>
      <c r="Q1" s="1" t="inlineStr">
        <is>
          <t xml:space="preserve">Sortino</t>
        </is>
      </c>
      <c r="R1" s="1" t="inlineStr">
        <is>
          <t xml:space="preserve">Calmar</t>
        </is>
      </c>
      <c r="S1" s="1" t="inlineStr">
        <is>
          <t xml:space="preserve">Max DD %</t>
        </is>
      </c>
      <c r="T1" s="1" t="inlineStr">
        <is>
          <t xml:space="preserve">Trades</t>
        </is>
      </c>
      <c r="U1" s="1" t="inlineStr">
        <is>
          <t xml:space="preserve">Trades / yr</t>
        </is>
      </c>
      <c r="V1" s="1" t="inlineStr">
        <is>
          <t xml:space="preserve">Win rate %</t>
        </is>
      </c>
      <c r="W1" s="1" t="inlineStr">
        <is>
          <t xml:space="preserve">Avg trade $</t>
        </is>
      </c>
      <c r="X1" s="1" t="inlineStr">
        <is>
          <t xml:space="preserve">Time in market %</t>
        </is>
      </c>
      <c r="Y1" s="1" t="inlineStr">
        <is>
          <t xml:space="preserve">Turnover / yr</t>
        </is>
      </c>
      <c r="Z1" s="1" t="inlineStr">
        <is>
          <t xml:space="preserve">Fees $</t>
        </is>
      </c>
      <c r="AA1" s="1" t="inlineStr">
        <is>
          <t xml:space="preserve">Funding received $</t>
        </is>
      </c>
      <c r="AB1" s="1" t="inlineStr">
        <is>
          <t xml:space="preserve">Slippage cost $</t>
        </is>
      </c>
      <c r="AC1" s="1" t="inlineStr">
        <is>
          <t xml:space="preserve">Final equity $</t>
        </is>
      </c>
      <c r="AD1" s="1" t="inlineStr">
        <is>
          <t xml:space="preserve">2022Q1 net %</t>
        </is>
      </c>
      <c r="AE1" s="1" t="inlineStr">
        <is>
          <t xml:space="preserve">2022Q3 net %</t>
        </is>
      </c>
      <c r="AF1" s="1" t="inlineStr">
        <is>
          <t xml:space="preserve">2023Q1 net %</t>
        </is>
      </c>
      <c r="AG1" s="1" t="inlineStr">
        <is>
          <t xml:space="preserve">2023Q3 net %</t>
        </is>
      </c>
      <c r="AH1" s="1" t="inlineStr">
        <is>
          <t xml:space="preserve">Quarters passed (of 4)</t>
        </is>
      </c>
      <c r="AI1" s="1" t="inlineStr">
        <is>
          <t xml:space="preserve">Defaults: net %</t>
        </is>
      </c>
      <c r="AJ1" s="1" t="inlineStr">
        <is>
          <t xml:space="preserve">Defaults: PF</t>
        </is>
      </c>
      <c r="AK1" s="1" t="inlineStr">
        <is>
          <t xml:space="preserve">Defaults: Sharpe</t>
        </is>
      </c>
      <c r="AL1" s="1" t="inlineStr">
        <is>
          <t xml:space="preserve">OOS net %</t>
        </is>
      </c>
      <c r="AM1" s="1" t="inlineStr">
        <is>
          <t xml:space="preserve">OOS PF</t>
        </is>
      </c>
      <c r="AN1" s="1" t="inlineStr">
        <is>
          <t xml:space="preserve">OOS Sharpe</t>
        </is>
      </c>
      <c r="AO1" s="1" t="inlineStr">
        <is>
          <t xml:space="preserve">OOS max DD %</t>
        </is>
      </c>
      <c r="AP1" s="1" t="inlineStr">
        <is>
          <t xml:space="preserve">OOS trades</t>
        </is>
      </c>
      <c r="AQ1" s="1" t="inlineStr">
        <is>
          <t xml:space="preserve">OOS win rate %</t>
        </is>
      </c>
      <c r="AR1" s="1" t="inlineStr">
        <is>
          <t xml:space="preserve">Rules</t>
        </is>
      </c>
      <c r="AS1" s="1" t="inlineStr">
        <is>
          <t xml:space="preserve">Dev run folder</t>
        </is>
      </c>
      <c r="AT1" s="1" t="inlineStr">
        <is>
          <t xml:space="preserve">OOS run folder</t>
        </is>
      </c>
      <c r="AU1" s="1" t="inlineStr">
        <is>
          <t xml:space="preserve">Cycle report</t>
        </is>
      </c>
    </row>
    <row r="2">
      <c r="A2" s="6">
        <v>1</v>
      </c>
      <c r="B2" s="6">
        <v>8</v>
      </c>
      <c r="C2" t="inlineStr">
        <is>
          <t xml:space="preserve">funding-fade-wide</t>
        </is>
      </c>
      <c r="D2" t="inlineStr">
        <is>
          <t xml:space="preserve">funding-carry</t>
        </is>
      </c>
      <c r="E2" s="6">
        <v>1</v>
      </c>
      <c r="F2" t="inlineStr">
        <is>
          <t xml:space="preserve">REJECTED</t>
        </is>
      </c>
      <c r="G2" t="inlineStr">
        <is>
          <t xml:space="preserve">locked-oos</t>
        </is>
      </c>
      <c r="H2" t="inlineStr">
        <is>
          <t xml:space="preserve">PF 1.00 &lt; 1.10; Sharpe 0.02 &lt; 0.50</t>
        </is>
      </c>
      <c r="I2" t="inlineStr">
        <is>
          <t xml:space="preserve">optimized</t>
        </is>
      </c>
      <c r="J2" t="inlineStr">
        <is>
          <t xml:space="preserve">quantile=0.3, holdBars=96, stopMult=1.5</t>
        </is>
      </c>
      <c r="K2" t="inlineStr">
        <is>
          <t xml:space="preserve">quantile=0.3, holdBars=96, stopMult=1.5</t>
        </is>
      </c>
      <c r="L2" t="inlineStr">
        <is>
          <t xml:space="preserve">quantile=0.3, holdBars=96, stopMult=1.5</t>
        </is>
      </c>
      <c r="M2" s="7">
        <v>0.21307525650227688</v>
      </c>
      <c r="N2" s="7">
        <v>0.06655126196518024</v>
      </c>
      <c r="O2" s="5">
        <v>1.3742214111168842</v>
      </c>
      <c r="P2" s="5">
        <v>0.9807741478776408</v>
      </c>
      <c r="Q2" s="5">
        <v>1.5559831457019837</v>
      </c>
      <c r="R2" s="5">
        <v>1.2106301841758331</v>
      </c>
      <c r="S2" s="7">
        <v>0.054972412579062435</v>
      </c>
      <c r="T2" s="6">
        <v>198</v>
      </c>
      <c r="U2" s="5">
        <v>66.04520547945206</v>
      </c>
      <c r="V2" s="7">
        <v>0.5353535353535354</v>
      </c>
      <c r="W2" s="8">
        <v>10.761376591023904</v>
      </c>
      <c r="X2" s="7">
        <v>0.6563165905631659</v>
      </c>
      <c r="Y2" s="5">
        <v>20.380268828234563</v>
      </c>
      <c r="Z2" s="8">
        <v>274.086888664871</v>
      </c>
      <c r="AA2" s="8">
        <v>290.96374126161595</v>
      </c>
      <c r="AB2" s="8">
        <v>137.0435343692055</v>
      </c>
      <c r="AC2" s="8">
        <v>12130.752565022769</v>
      </c>
      <c r="AD2" s="7">
        <v>-0.019808585044203797</v>
      </c>
      <c r="AE2" s="7">
        <v>0.0010741000333076567</v>
      </c>
      <c r="AF2" s="7">
        <v>0.03422699504519566</v>
      </c>
      <c r="AG2" s="7">
        <v>0.010649348044313722</v>
      </c>
      <c r="AH2" s="6">
        <v>3</v>
      </c>
      <c r="AI2" s="7">
        <v>0.21307525650227688</v>
      </c>
      <c r="AJ2" s="5">
        <v>1.3742214111168842</v>
      </c>
      <c r="AK2" s="5">
        <v>0.9807741478776408</v>
      </c>
      <c r="AL2" s="7">
        <v>-0.0016814470684750615</v>
      </c>
      <c r="AM2" s="5">
        <v>0.9973536044343656</v>
      </c>
      <c r="AN2" s="5">
        <v>0.023264165842588877</v>
      </c>
      <c r="AO2" s="7">
        <v>0.09783841781544238</v>
      </c>
      <c r="AP2" s="6">
        <v>195</v>
      </c>
      <c r="AQ2" s="7">
        <v>0.48717948717948717</v>
      </c>
      <c r="AR2" t="inlineStr">
        <is>
          <t xml:space="preserve">funding-crowding-fade (rank = 3-day mean funding vs the previous 90 days; short on a close crossing below EMA(24) when rank &gt;= 1 - quantile, long on a cross above when rank &lt;= quantile; exit after holdBars; stop stopMult x dATR) with the quantile range centred on cycle 5's edge optimum.</t>
        </is>
      </c>
      <c r="AS2" t="inlineStr">
        <is>
          <t xml:space="preserve">artifacts/runs/hunt_cycle_8/funding-fade-wide/optimized_dev</t>
        </is>
      </c>
      <c r="AT2" t="inlineStr">
        <is>
          <t xml:space="preserve">artifacts/runs/hunt_cycle_8/funding-fade-wide/locked_oos</t>
        </is>
      </c>
      <c r="AU2" t="inlineStr">
        <is>
          <t xml:space="preserve">artifacts/hunt/cycle_8/report.html</t>
        </is>
      </c>
    </row>
    <row r="3">
      <c r="A3" s="6">
        <v>2</v>
      </c>
      <c r="B3" s="6">
        <v>6</v>
      </c>
      <c r="C3" t="inlineStr">
        <is>
          <t xml:space="preserve">crowding-filtered-breakout</t>
        </is>
      </c>
      <c r="D3" t="inlineStr">
        <is>
          <t xml:space="preserve">funding-filtered-trend</t>
        </is>
      </c>
      <c r="E3" s="6">
        <v>1</v>
      </c>
      <c r="F3" t="inlineStr">
        <is>
          <t xml:space="preserve">REJECTED</t>
        </is>
      </c>
      <c r="G3" t="inlineStr">
        <is>
          <t xml:space="preserve">dev-baseline</t>
        </is>
      </c>
      <c r="H3" t="inlineStr">
        <is>
          <t xml:space="preserve">48.0 trades/yr &lt; 50 (144 trades); walk-forward: 2 of 4 folds failed</t>
        </is>
      </c>
      <c r="I3" t="inlineStr">
        <is>
          <t xml:space="preserve">defaults</t>
        </is>
      </c>
      <c r="J3" t="inlineStr">
        <is>
          <t xml:space="preserve">channelDays=4, maxRank=0.8, trailMult=2</t>
        </is>
      </c>
      <c r="K3" t="inlineStr">
        <is>
          <t xml:space="preserve">channelDays=4, maxRank=0.8, trailMult=2</t>
        </is>
      </c>
      <c r="M3" s="7">
        <v>0.15923662235654312</v>
      </c>
      <c r="N3" s="7">
        <v>0.05052247640525609</v>
      </c>
      <c r="O3" s="5">
        <v>1.4135226245952932</v>
      </c>
      <c r="P3" s="5">
        <v>0.8464304579235811</v>
      </c>
      <c r="Q3" s="5">
        <v>1.5300760470771944</v>
      </c>
      <c r="R3" s="5">
        <v>0.968652884163314</v>
      </c>
      <c r="S3" s="7">
        <v>0.052157462421531436</v>
      </c>
      <c r="T3" s="6">
        <v>144</v>
      </c>
      <c r="U3" s="5">
        <v>48.03287671232877</v>
      </c>
      <c r="V3" s="7">
        <v>0.3680555555555556</v>
      </c>
      <c r="W3" s="8">
        <v>11.058098774759983</v>
      </c>
      <c r="X3" s="7">
        <v>0.5791476407914764</v>
      </c>
      <c r="Y3" s="5">
        <v>11.058524025109676</v>
      </c>
      <c r="Z3" s="8">
        <v>138.8520280575587</v>
      </c>
      <c r="AA3" s="8">
        <v>-97.52776630913318</v>
      </c>
      <c r="AB3" s="8">
        <v>69.4260899556637</v>
      </c>
      <c r="AC3" s="8">
        <v>11592.36622356543</v>
      </c>
      <c r="AD3" s="7">
        <v>0.01608834661354952</v>
      </c>
      <c r="AE3" s="7">
        <v>-0.01853457297252392</v>
      </c>
      <c r="AF3" s="7">
        <v>0.1386173972285505</v>
      </c>
      <c r="AG3" s="7">
        <v>-0.02744186008231697</v>
      </c>
      <c r="AH3" s="6">
        <v>2</v>
      </c>
      <c r="AI3" s="7">
        <v>0.15923662235654312</v>
      </c>
      <c r="AJ3" s="5">
        <v>1.4135226245952932</v>
      </c>
      <c r="AK3" s="5">
        <v>0.8464304579235811</v>
      </c>
      <c r="AL3" s="7"/>
      <c r="AM3" s="5"/>
      <c r="AN3" s="5"/>
      <c r="AO3" s="7"/>
      <c r="AP3" s="6"/>
      <c r="AQ3" s="7"/>
      <c r="AR3" t="inlineStr">
        <is>
          <t xml:space="preserve">Long on a close above the high of the previous channelDays x 24 bars only if the 3-day funding rank (as in funding-crowding-fade) is &lt;= maxRank; short below the low only if the rank is &gt;= 1 - maxRank (maxRank 1 = no filter). Exit on the opposite channel of half the length; stop trails the best close by trailMult x dATR.</t>
        </is>
      </c>
      <c r="AS3" t="inlineStr">
        <is>
          <t xml:space="preserve">artifacts/runs/hunt_cycle_6/crowding-filtered-breakout/baseline_dev</t>
        </is>
      </c>
      <c r="AU3" t="inlineStr">
        <is>
          <t xml:space="preserve">artifacts/hunt/cycle_6/report.html</t>
        </is>
      </c>
    </row>
    <row r="4">
      <c r="A4" s="6">
        <v>3</v>
      </c>
      <c r="B4" s="6">
        <v>5</v>
      </c>
      <c r="C4" t="inlineStr">
        <is>
          <t xml:space="preserve">funding-crowding-fade</t>
        </is>
      </c>
      <c r="D4" t="inlineStr">
        <is>
          <t xml:space="preserve">funding-carry</t>
        </is>
      </c>
      <c r="E4" s="6">
        <v>1</v>
      </c>
      <c r="F4" t="inlineStr">
        <is>
          <t xml:space="preserve">REJECTED</t>
        </is>
      </c>
      <c r="G4" t="inlineStr">
        <is>
          <t xml:space="preserve">optimization</t>
        </is>
      </c>
      <c r="H4" t="inlineStr">
        <is>
          <t xml:space="preserve">optimum on the search-range edge of quantile</t>
        </is>
      </c>
      <c r="I4" t="inlineStr">
        <is>
          <t xml:space="preserve">defaults</t>
        </is>
      </c>
      <c r="J4" t="inlineStr">
        <is>
          <t xml:space="preserve">quantile=0.2, holdBars=72, stopMult=1.5</t>
        </is>
      </c>
      <c r="K4" t="inlineStr">
        <is>
          <t xml:space="preserve">quantile=0.2, holdBars=72, stopMult=1.5</t>
        </is>
      </c>
      <c r="M4" s="7">
        <v>0.10482395649583598</v>
      </c>
      <c r="N4" s="7">
        <v>0.033810435793911076</v>
      </c>
      <c r="O4" s="5">
        <v>1.2323670698931102</v>
      </c>
      <c r="P4" s="5">
        <v>0.6057769594309661</v>
      </c>
      <c r="Q4" s="5">
        <v>0.9830711746398264</v>
      </c>
      <c r="R4" s="5">
        <v>0.5356380472214285</v>
      </c>
      <c r="S4" s="7">
        <v>0.06312179646180756</v>
      </c>
      <c r="T4" s="6">
        <v>173</v>
      </c>
      <c r="U4" s="5">
        <v>57.70616438356165</v>
      </c>
      <c r="V4" s="7">
        <v>0.45664739884393063</v>
      </c>
      <c r="W4" s="8">
        <v>6.0591882367536005</v>
      </c>
      <c r="X4" s="7">
        <v>0.4449391171993912</v>
      </c>
      <c r="Y4" s="5">
        <v>18.375137474424495</v>
      </c>
      <c r="Z4" s="8">
        <v>235.8086341863755</v>
      </c>
      <c r="AA4" s="8">
        <v>248.85966671586814</v>
      </c>
      <c r="AB4" s="8">
        <v>117.9043632169036</v>
      </c>
      <c r="AC4" s="8">
        <v>11048.23956495836</v>
      </c>
      <c r="AD4" s="7">
        <v>0.03357751482412974</v>
      </c>
      <c r="AE4" s="7">
        <v>-0.009256558018656325</v>
      </c>
      <c r="AF4" s="7">
        <v>0.055255293778658565</v>
      </c>
      <c r="AG4" s="7">
        <v>0.021720418723419233</v>
      </c>
      <c r="AH4" s="6">
        <v>3</v>
      </c>
      <c r="AI4" s="7">
        <v>0.10482395649583598</v>
      </c>
      <c r="AJ4" s="5">
        <v>1.2323670698931102</v>
      </c>
      <c r="AK4" s="5">
        <v>0.6057769594309661</v>
      </c>
      <c r="AL4" s="7"/>
      <c r="AM4" s="5"/>
      <c r="AN4" s="5"/>
      <c r="AO4" s="7"/>
      <c r="AP4" s="6"/>
      <c r="AQ4" s="7"/>
      <c r="AR4" t="inlineStr">
        <is>
          <t xml:space="preserve">Rank = percentile of the mean of the last 9 settled funding rates (3 days) among the previous 270 such means (90 days). Rank &gt;= 1 - quantile (crowded longs): short when the close crosses below EMA(24); rank &lt;= quantile (crowded shorts): long when it crosses above. Exit after holdBars; stop stopMult x dATR.</t>
        </is>
      </c>
      <c r="AS4" t="inlineStr">
        <is>
          <t xml:space="preserve">artifacts/runs/hunt_cycle_5/funding-crowding-fade/baseline_dev</t>
        </is>
      </c>
      <c r="AU4" t="inlineStr">
        <is>
          <t xml:space="preserve">artifacts/hunt/cycle_5/report.html</t>
        </is>
      </c>
    </row>
    <row r="5">
      <c r="A5" s="6">
        <v>4</v>
      </c>
      <c r="B5" s="6">
        <v>6</v>
      </c>
      <c r="C5" t="inlineStr">
        <is>
          <t xml:space="preserve">max-min-daily</t>
        </is>
      </c>
      <c r="D5" t="inlineStr">
        <is>
          <t xml:space="preserve">daily-extremes</t>
        </is>
      </c>
      <c r="E5" s="6">
        <v>1</v>
      </c>
      <c r="F5" t="inlineStr">
        <is>
          <t xml:space="preserve">REJECTED</t>
        </is>
      </c>
      <c r="G5" t="inlineStr">
        <is>
          <t xml:space="preserve">dev-baseline</t>
        </is>
      </c>
      <c r="H5" t="inlineStr">
        <is>
          <t xml:space="preserve">walk-forward: 3 of 4 folds failed</t>
        </is>
      </c>
      <c r="I5" t="inlineStr">
        <is>
          <t xml:space="preserve">defaults</t>
        </is>
      </c>
      <c r="J5" t="inlineStr">
        <is>
          <t xml:space="preserve">lookbackDays=10, holdDays=1, stopMult=2</t>
        </is>
      </c>
      <c r="K5" t="inlineStr">
        <is>
          <t xml:space="preserve">lookbackDays=10, holdDays=1, stopMult=2</t>
        </is>
      </c>
      <c r="M5" s="7">
        <v>0.07325412483533889</v>
      </c>
      <c r="N5" s="7">
        <v>0.023861466607209447</v>
      </c>
      <c r="O5" s="5">
        <v>1.236422380212612</v>
      </c>
      <c r="P5" s="5">
        <v>0.6037208802608196</v>
      </c>
      <c r="Q5" s="5">
        <v>0.9974168790925013</v>
      </c>
      <c r="R5" s="5">
        <v>0.48366382139393227</v>
      </c>
      <c r="S5" s="7">
        <v>0.04933481801148585</v>
      </c>
      <c r="T5" s="6">
        <v>206</v>
      </c>
      <c r="U5" s="5">
        <v>68.71369863013699</v>
      </c>
      <c r="V5" s="7">
        <v>0.47572815533980584</v>
      </c>
      <c r="W5" s="8">
        <v>3.556025477443694</v>
      </c>
      <c r="X5" s="7">
        <v>0.30677321156773213</v>
      </c>
      <c r="Y5" s="5">
        <v>15.78107562886768</v>
      </c>
      <c r="Z5" s="8">
        <v>193.18148260114017</v>
      </c>
      <c r="AA5" s="8">
        <v>-187.51855526714962</v>
      </c>
      <c r="AB5" s="8">
        <v>96.59078969385305</v>
      </c>
      <c r="AC5" s="8">
        <v>10732.54124835339</v>
      </c>
      <c r="AD5" s="7">
        <v>-0.011818216122159941</v>
      </c>
      <c r="AE5" s="7">
        <v>-0.002388913213466015</v>
      </c>
      <c r="AF5" s="7">
        <v>0.0383012394422626</v>
      </c>
      <c r="AG5" s="7">
        <v>-0.014437849906908329</v>
      </c>
      <c r="AH5" s="6">
        <v>1</v>
      </c>
      <c r="AI5" s="7">
        <v>0.07325412483533889</v>
      </c>
      <c r="AJ5" s="5">
        <v>1.236422380212612</v>
      </c>
      <c r="AK5" s="5">
        <v>0.6037208802608196</v>
      </c>
      <c r="AL5" s="7"/>
      <c r="AM5" s="5"/>
      <c r="AN5" s="5"/>
      <c r="AO5" s="7"/>
      <c r="AP5" s="6"/>
      <c r="AQ5" s="7"/>
      <c r="AR5" t="inlineStr">
        <is>
          <t xml:space="preserve">Long only. On a daily close &gt;= the highest close of the previous lookbackDays days (trend) or &lt;= the lowest (reversion), go long; each signal day renews the hold; exit after holdDays day closes without a signal. Stop stopMult x dATR.</t>
        </is>
      </c>
      <c r="AS5" t="inlineStr">
        <is>
          <t xml:space="preserve">artifacts/runs/hunt_cycle_6/max-min-daily/baseline_dev</t>
        </is>
      </c>
      <c r="AU5" t="inlineStr">
        <is>
          <t xml:space="preserve">artifacts/hunt/cycle_6/report.html</t>
        </is>
      </c>
    </row>
    <row r="6">
      <c r="A6" s="6">
        <v>5</v>
      </c>
      <c r="B6" s="6">
        <v>9</v>
      </c>
      <c r="C6" t="inlineStr">
        <is>
          <t xml:space="preserve">cipher-a-ribbon</t>
        </is>
      </c>
      <c r="D6" t="inlineStr">
        <is>
          <t xml:space="preserve">ema-ribbon</t>
        </is>
      </c>
      <c r="E6" s="6">
        <v>1</v>
      </c>
      <c r="F6" t="inlineStr">
        <is>
          <t xml:space="preserve">REJECTED</t>
        </is>
      </c>
      <c r="G6" t="inlineStr">
        <is>
          <t xml:space="preserve">dev-baseline</t>
        </is>
      </c>
      <c r="H6" t="inlineStr">
        <is>
          <t xml:space="preserve">walk-forward: 3 of 4 folds failed</t>
        </is>
      </c>
      <c r="I6" t="inlineStr">
        <is>
          <t xml:space="preserve">defaults</t>
        </is>
      </c>
      <c r="J6" t="inlineStr">
        <is>
          <t xml:space="preserve">tfHours=4, atrMult=2.5, diamondExit=1</t>
        </is>
      </c>
      <c r="K6" t="inlineStr">
        <is>
          <t xml:space="preserve">tfHours=4, atrMult=2.5, diamondExit=1</t>
        </is>
      </c>
      <c r="M6" s="7">
        <v>0.2372495921185953</v>
      </c>
      <c r="N6" s="7">
        <v>0.07359434540792842</v>
      </c>
      <c r="O6" s="5">
        <v>1.223311476056923</v>
      </c>
      <c r="P6" s="5">
        <v>0.5669869804379919</v>
      </c>
      <c r="Q6" s="5">
        <v>0.9755054917261514</v>
      </c>
      <c r="R6" s="5">
        <v>0.5975742145971275</v>
      </c>
      <c r="S6" s="7">
        <v>0.12315515564463278</v>
      </c>
      <c r="T6" s="6">
        <v>219</v>
      </c>
      <c r="U6" s="5">
        <v>73.05000000000001</v>
      </c>
      <c r="V6" s="7">
        <v>0.2465753424657534</v>
      </c>
      <c r="W6" s="8">
        <v>10.833314708611697</v>
      </c>
      <c r="X6" s="7">
        <v>0.8254185692541857</v>
      </c>
      <c r="Y6" s="5">
        <v>39.207036144354284</v>
      </c>
      <c r="Z6" s="8">
        <v>493.8615396844886</v>
      </c>
      <c r="AA6" s="8">
        <v>-178.58361835314244</v>
      </c>
      <c r="AB6" s="8">
        <v>246.9309015171236</v>
      </c>
      <c r="AC6" s="8">
        <v>12372.495921185953</v>
      </c>
      <c r="AD6" s="7">
        <v>-0.00951121615992978</v>
      </c>
      <c r="AE6" s="7">
        <v>-0.014300660203119708</v>
      </c>
      <c r="AF6" s="7">
        <v>0.3465973573391812</v>
      </c>
      <c r="AG6" s="7">
        <v>-0.03946976330827323</v>
      </c>
      <c r="AH6" s="6">
        <v>1</v>
      </c>
      <c r="AI6" s="7">
        <v>0.2372495921185953</v>
      </c>
      <c r="AJ6" s="5">
        <v>1.223311476056923</v>
      </c>
      <c r="AK6" s="5">
        <v>0.5669869804379919</v>
      </c>
      <c r="AL6" s="7"/>
      <c r="AM6" s="5"/>
      <c r="AN6" s="5"/>
      <c r="AO6" s="7"/>
      <c r="AP6" s="6"/>
      <c r="AQ6" s="7"/>
      <c r="AR6" t="inlineStr">
        <is>
          <t xml:space="preserve">Market Cipher A: EMA(11) crossing above EMA(33) goes long, below goes short; with diamondExit = 1 a long also exits on a 'blood diamond' (bearish WT cross on the period EMA(5) crosses under EMA(11)), a short on the mirror; stop atrMult x ATR(14) of the period bars.</t>
        </is>
      </c>
      <c r="AS6" t="inlineStr">
        <is>
          <t xml:space="preserve">artifacts/runs/hunt_cycle_9/cipher-a-ribbon/baseline_dev</t>
        </is>
      </c>
      <c r="AU6" t="inlineStr">
        <is>
          <t xml:space="preserve">artifacts/hunt/cycle_9/report.html</t>
        </is>
      </c>
    </row>
    <row r="7">
      <c r="A7" s="6">
        <v>6</v>
      </c>
      <c r="B7" s="6">
        <v>5</v>
      </c>
      <c r="C7" t="inlineStr">
        <is>
          <t xml:space="preserve">donchian-ensemble-trend</t>
        </is>
      </c>
      <c r="D7" t="inlineStr">
        <is>
          <t xml:space="preserve">trend-ensemble</t>
        </is>
      </c>
      <c r="E7" s="6">
        <v>1</v>
      </c>
      <c r="F7" t="inlineStr">
        <is>
          <t xml:space="preserve">REJECTED</t>
        </is>
      </c>
      <c r="G7" t="inlineStr">
        <is>
          <t xml:space="preserve">dev-baseline</t>
        </is>
      </c>
      <c r="H7" t="inlineStr">
        <is>
          <t xml:space="preserve">Sharpe 0.48 &lt; 0.50; 42.4 trades/yr &lt; 50 (127 trades); walk-forward: 2 of 4 folds failed</t>
        </is>
      </c>
      <c r="I7" t="inlineStr">
        <is>
          <t xml:space="preserve">defaults</t>
        </is>
      </c>
      <c r="J7" t="inlineStr">
        <is>
          <t xml:space="preserve">baseDays=2, minAgree=3, trailMult=2</t>
        </is>
      </c>
      <c r="K7" t="inlineStr">
        <is>
          <t xml:space="preserve">baseDays=2, minAgree=3, trailMult=2</t>
        </is>
      </c>
      <c r="M7" s="7">
        <v>0.0889122308498198</v>
      </c>
      <c r="N7" s="7">
        <v>0.02882001482996266</v>
      </c>
      <c r="O7" s="5">
        <v>1.2300481412129858</v>
      </c>
      <c r="P7" s="5">
        <v>0.48323996088628995</v>
      </c>
      <c r="Q7" s="5">
        <v>0.8197111485538991</v>
      </c>
      <c r="R7" s="5">
        <v>0.38971774955150795</v>
      </c>
      <c r="S7" s="7">
        <v>0.07395099366946743</v>
      </c>
      <c r="T7" s="6">
        <v>127</v>
      </c>
      <c r="U7" s="5">
        <v>42.36232876712329</v>
      </c>
      <c r="V7" s="7">
        <v>0.3228346456692913</v>
      </c>
      <c r="W7" s="8">
        <v>7.000963059041093</v>
      </c>
      <c r="X7" s="7">
        <v>0.7688736681887367</v>
      </c>
      <c r="Y7" s="5">
        <v>9.893068426149663</v>
      </c>
      <c r="Z7" s="8">
        <v>120.29267725525878</v>
      </c>
      <c r="AA7" s="8">
        <v>-232.85150430622977</v>
      </c>
      <c r="AB7" s="8">
        <v>60.146390724144595</v>
      </c>
      <c r="AC7" s="8">
        <v>10889.122308498198</v>
      </c>
      <c r="AD7" s="7">
        <v>0.007914768641857028</v>
      </c>
      <c r="AE7" s="7">
        <v>-0.027916378559834087</v>
      </c>
      <c r="AF7" s="7">
        <v>0.09474187147797553</v>
      </c>
      <c r="AG7" s="7">
        <v>-0.04547211497240755</v>
      </c>
      <c r="AH7" s="6">
        <v>2</v>
      </c>
      <c r="AI7" s="7">
        <v>0.0889122308498198</v>
      </c>
      <c r="AJ7" s="5">
        <v>1.2300481412129858</v>
      </c>
      <c r="AK7" s="5">
        <v>0.48323996088628995</v>
      </c>
      <c r="AL7" s="7"/>
      <c r="AM7" s="5"/>
      <c r="AN7" s="5"/>
      <c r="AO7" s="7"/>
      <c r="AP7" s="6"/>
      <c r="AQ7" s="7"/>
      <c r="AR7" t="inlineStr">
        <is>
          <t xml:space="preserve">Four Donchian models with lookbacks baseDays x 1, 2, 4, 8 days; each turns long on a close above the high of its previous bars (short below the low) and keeps that state. Long on a fresh breakout of the fastest channel when &gt;= minAgree models are long (short: mirror); exit when long models no longer outnumber short ones; stop trails the best close by trailMult x dATR.</t>
        </is>
      </c>
      <c r="AS7" t="inlineStr">
        <is>
          <t xml:space="preserve">artifacts/runs/hunt_cycle_5/donchian-ensemble-trend/baseline_dev</t>
        </is>
      </c>
      <c r="AU7" t="inlineStr">
        <is>
          <t xml:space="preserve">artifacts/hunt/cycle_5/report.html</t>
        </is>
      </c>
    </row>
    <row r="8">
      <c r="A8" s="6">
        <v>7</v>
      </c>
      <c r="B8" s="6">
        <v>10</v>
      </c>
      <c r="C8" t="inlineStr">
        <is>
          <t xml:space="preserve">supertrend</t>
        </is>
      </c>
      <c r="D8" t="inlineStr">
        <is>
          <t xml:space="preserve">atr-trend</t>
        </is>
      </c>
      <c r="E8" s="6">
        <v>1</v>
      </c>
      <c r="F8" t="inlineStr">
        <is>
          <t xml:space="preserve">REJECTED</t>
        </is>
      </c>
      <c r="G8" t="inlineStr">
        <is>
          <t xml:space="preserve">dev-baseline</t>
        </is>
      </c>
      <c r="H8" t="inlineStr">
        <is>
          <t xml:space="preserve">Sharpe 0.46 &lt; 0.50; max DD 35.3% &gt; 30%; walk-forward: 3 of 4 folds failed</t>
        </is>
      </c>
      <c r="I8" t="inlineStr">
        <is>
          <t xml:space="preserve">defaults</t>
        </is>
      </c>
      <c r="J8" t="inlineStr">
        <is>
          <t xml:space="preserve">tfHours=4, atrLen=10, mult=3</t>
        </is>
      </c>
      <c r="K8" t="inlineStr">
        <is>
          <t xml:space="preserve">tfHours=4, atrLen=10, mult=3</t>
        </is>
      </c>
      <c r="M8" s="7">
        <v>0.28584243953394606</v>
      </c>
      <c r="N8" s="7">
        <v>0.08747892010501769</v>
      </c>
      <c r="O8" s="5">
        <v>1.1402035118899845</v>
      </c>
      <c r="P8" s="5">
        <v>0.4592400565169252</v>
      </c>
      <c r="Q8" s="5">
        <v>0.7638413680512913</v>
      </c>
      <c r="R8" s="5">
        <v>0.24772599802833264</v>
      </c>
      <c r="S8" s="7">
        <v>0.35312773306503187</v>
      </c>
      <c r="T8" s="6">
        <v>328</v>
      </c>
      <c r="U8" s="5">
        <v>109.4082191780822</v>
      </c>
      <c r="V8" s="7">
        <v>0.2225609756097561</v>
      </c>
      <c r="W8" s="8">
        <v>8.714708522376402</v>
      </c>
      <c r="X8" s="7">
        <v>0.9603881278538813</v>
      </c>
      <c r="Y8" s="5">
        <v>120.20375718177687</v>
      </c>
      <c r="Z8" s="8">
        <v>1841.41782231232</v>
      </c>
      <c r="AA8" s="8">
        <v>-1662.5257895192508</v>
      </c>
      <c r="AB8" s="8">
        <v>920.7092024792485</v>
      </c>
      <c r="AC8" s="8">
        <v>12858.42439533946</v>
      </c>
      <c r="AD8" s="7">
        <v>-0.03725066541140476</v>
      </c>
      <c r="AE8" s="7">
        <v>-0.10110317912817625</v>
      </c>
      <c r="AF8" s="7">
        <v>0.2333155285315318</v>
      </c>
      <c r="AG8" s="7">
        <v>-0.0553559196615182</v>
      </c>
      <c r="AH8" s="6">
        <v>1</v>
      </c>
      <c r="AI8" s="7">
        <v>0.28584243953394606</v>
      </c>
      <c r="AJ8" s="5">
        <v>1.1402035118899845</v>
      </c>
      <c r="AK8" s="5">
        <v>0.4592400565169252</v>
      </c>
      <c r="AL8" s="7"/>
      <c r="AM8" s="5"/>
      <c r="AN8" s="5"/>
      <c r="AO8" s="7"/>
      <c r="AP8" s="6"/>
      <c r="AQ8" s="7"/>
      <c r="AR8" t="inlineStr">
        <is>
          <t xml:space="preserve">SuperTrend(atrLen, mult) on tfHours bars: hold its direction and flip with it; the SuperTrend line is the trailing stop; a stop-out is re-entered on the next period close if the direction still holds.</t>
        </is>
      </c>
      <c r="AS8" t="inlineStr">
        <is>
          <t xml:space="preserve">artifacts/runs/hunt_cycle_10/supertrend/baseline_dev</t>
        </is>
      </c>
      <c r="AU8" t="inlineStr">
        <is>
          <t xml:space="preserve">artifacts/hunt/cycle_10/report.html</t>
        </is>
      </c>
    </row>
    <row r="9">
      <c r="A9" s="6">
        <v>8</v>
      </c>
      <c r="B9" s="6">
        <v>4</v>
      </c>
      <c r="C9" t="inlineStr">
        <is>
          <t xml:space="preserve">impulse-bar-continuation</t>
        </is>
      </c>
      <c r="D9" t="inlineStr">
        <is>
          <t xml:space="preserve">vol-state</t>
        </is>
      </c>
      <c r="E9" s="6">
        <v>1</v>
      </c>
      <c r="F9" t="inlineStr">
        <is>
          <t xml:space="preserve">REJECTED</t>
        </is>
      </c>
      <c r="G9" t="inlineStr">
        <is>
          <t xml:space="preserve">dev-baseline</t>
        </is>
      </c>
      <c r="H9" t="inlineStr">
        <is>
          <t xml:space="preserve">PF 1.07 &lt; 1.10; Sharpe 0.43 &lt; 0.50</t>
        </is>
      </c>
      <c r="I9" t="inlineStr">
        <is>
          <t xml:space="preserve">defaults</t>
        </is>
      </c>
      <c r="J9" t="inlineStr">
        <is>
          <t xml:space="preserve">rangeAtr=2.5, bodyFrac=0.6, holdBars=12, atrMult=2</t>
        </is>
      </c>
      <c r="K9" t="inlineStr">
        <is>
          <t xml:space="preserve">rangeAtr=2.5, bodyFrac=0.6, holdBars=12, atrMult=2</t>
        </is>
      </c>
      <c r="M9" s="7">
        <v>0.17560134050587628</v>
      </c>
      <c r="N9" s="7">
        <v>0.05544611422911072</v>
      </c>
      <c r="O9" s="5">
        <v>1.069285552255742</v>
      </c>
      <c r="P9" s="5">
        <v>0.4316946599315036</v>
      </c>
      <c r="Q9" s="5">
        <v>0.7512303775910644</v>
      </c>
      <c r="R9" s="5">
        <v>0.3201431018901166</v>
      </c>
      <c r="S9" s="7">
        <v>0.1731916567989699</v>
      </c>
      <c r="T9" s="6">
        <v>461</v>
      </c>
      <c r="U9" s="5">
        <v>153.7719178082192</v>
      </c>
      <c r="V9" s="7">
        <v>0.4056399132321041</v>
      </c>
      <c r="W9" s="8">
        <v>3.8091397072858246</v>
      </c>
      <c r="X9" s="7">
        <v>0.155441400304414</v>
      </c>
      <c r="Y9" s="5">
        <v>198.66252926262638</v>
      </c>
      <c r="Z9" s="8">
        <v>2872.350252810315</v>
      </c>
      <c r="AA9" s="8">
        <v>73.94874521134487</v>
      </c>
      <c r="AB9" s="8">
        <v>1436.1753660287698</v>
      </c>
      <c r="AC9" s="8">
        <v>11756.013405058762</v>
      </c>
      <c r="AD9" s="7">
        <v>0.007272117323744887</v>
      </c>
      <c r="AE9" s="7">
        <v>0.03121903764361078</v>
      </c>
      <c r="AF9" s="7">
        <v>0.04885936916027389</v>
      </c>
      <c r="AG9" s="7">
        <v>-0.04629724692826597</v>
      </c>
      <c r="AH9" s="6">
        <v>3</v>
      </c>
      <c r="AI9" s="7">
        <v>0.17560134050587628</v>
      </c>
      <c r="AJ9" s="5">
        <v>1.069285552255742</v>
      </c>
      <c r="AK9" s="5">
        <v>0.4316946599315036</v>
      </c>
      <c r="AL9" s="7"/>
      <c r="AM9" s="5"/>
      <c r="AN9" s="5"/>
      <c r="AO9" s="7"/>
      <c r="AP9" s="6"/>
      <c r="AQ9" s="7"/>
      <c r="AR9" t="inlineStr">
        <is>
          <t xml:space="preserve">Long when true range &gt;= rangeAtr x previous ATR(14), the bar closes up and its body &gt;= bodyFrac x range (short: the mirror); exit after holdBars bars; stop at signal close -/+ atrMult x ATR.</t>
        </is>
      </c>
      <c r="AS9" t="inlineStr">
        <is>
          <t xml:space="preserve">artifacts/runs/hunt_cycle_4/impulse-bar-continuation/baseline_dev</t>
        </is>
      </c>
      <c r="AU9" t="inlineStr">
        <is>
          <t xml:space="preserve">artifacts/hunt/cycle_4/report.html</t>
        </is>
      </c>
    </row>
    <row r="10">
      <c r="A10" s="6">
        <v>9</v>
      </c>
      <c r="B10" s="6">
        <v>3</v>
      </c>
      <c r="C10" t="inlineStr">
        <is>
          <t xml:space="preserve">keltner-breakout</t>
        </is>
      </c>
      <c r="D10" t="inlineStr">
        <is>
          <t xml:space="preserve">vol-breakout</t>
        </is>
      </c>
      <c r="E10" s="6">
        <v>1</v>
      </c>
      <c r="F10" t="inlineStr">
        <is>
          <t xml:space="preserve">REJECTED</t>
        </is>
      </c>
      <c r="G10" t="inlineStr">
        <is>
          <t xml:space="preserve">dev-baseline</t>
        </is>
      </c>
      <c r="H10" t="inlineStr">
        <is>
          <t xml:space="preserve">PF 1.08 &lt; 1.10; Sharpe 0.41 &lt; 0.50; walk-forward: 2 of 4 folds failed</t>
        </is>
      </c>
      <c r="I10" t="inlineStr">
        <is>
          <t xml:space="preserve">defaults</t>
        </is>
      </c>
      <c r="J10" t="inlineStr">
        <is>
          <t xml:space="preserve">emaLen=48, bandMult=2, atrMult=3</t>
        </is>
      </c>
      <c r="K10" t="inlineStr">
        <is>
          <t xml:space="preserve">emaLen=48, bandMult=2, atrMult=3</t>
        </is>
      </c>
      <c r="M10" s="7">
        <v>0.20778103802976755</v>
      </c>
      <c r="N10" s="7">
        <v>0.06499635428516504</v>
      </c>
      <c r="O10" s="5">
        <v>1.0777426239321708</v>
      </c>
      <c r="P10" s="5">
        <v>0.411871910145701</v>
      </c>
      <c r="Q10" s="5">
        <v>0.7787182486997917</v>
      </c>
      <c r="R10" s="5">
        <v>0.2598053312521976</v>
      </c>
      <c r="S10" s="7">
        <v>0.2501732892542991</v>
      </c>
      <c r="T10" s="6">
        <v>499</v>
      </c>
      <c r="U10" s="5">
        <v>166.4472602739726</v>
      </c>
      <c r="V10" s="7">
        <v>0.2965931863727455</v>
      </c>
      <c r="W10" s="8">
        <v>4.1639486579111695</v>
      </c>
      <c r="X10" s="7">
        <v>0.5982876712328767</v>
      </c>
      <c r="Y10" s="5">
        <v>147.48674002744923</v>
      </c>
      <c r="Z10" s="8">
        <v>2002.186081083214</v>
      </c>
      <c r="AA10" s="8">
        <v>-34.85891696737549</v>
      </c>
      <c r="AB10" s="8">
        <v>1001.0932451795519</v>
      </c>
      <c r="AC10" s="8">
        <v>12077.810380297677</v>
      </c>
      <c r="AD10" s="7">
        <v>0.026238380830382546</v>
      </c>
      <c r="AE10" s="7">
        <v>-0.0882847538092838</v>
      </c>
      <c r="AF10" s="7">
        <v>0.28077908272890384</v>
      </c>
      <c r="AG10" s="7">
        <v>-0.14399855619358315</v>
      </c>
      <c r="AH10" s="6">
        <v>2</v>
      </c>
      <c r="AI10" s="7">
        <v>0.20778103802976755</v>
      </c>
      <c r="AJ10" s="5">
        <v>1.0777426239321708</v>
      </c>
      <c r="AK10" s="5">
        <v>0.411871910145701</v>
      </c>
      <c r="AL10" s="7"/>
      <c r="AM10" s="5"/>
      <c r="AN10" s="5"/>
      <c r="AO10" s="7"/>
      <c r="AP10" s="6"/>
      <c r="AQ10" s="7"/>
      <c r="AR10" t="inlineStr">
        <is>
          <t xml:space="preserve">Long when close &gt; EMA(emaLen) + bandMult x ATR(14), short when close &lt; EMA - bandMult x ATR(14); exit when close crosses back over the EMA; stop at entry-bar close -/+ ATR(14) x atrMult.</t>
        </is>
      </c>
      <c r="AS10" t="inlineStr">
        <is>
          <t xml:space="preserve">artifacts/runs/hunt_cycle_3/keltner-breakout/baseline_dev</t>
        </is>
      </c>
      <c r="AU10" t="inlineStr">
        <is>
          <t xml:space="preserve">artifacts/hunt/cycle_3/report.html</t>
        </is>
      </c>
    </row>
    <row r="11">
      <c r="A11" s="6">
        <v>10</v>
      </c>
      <c r="B11" s="6">
        <v>7</v>
      </c>
      <c r="C11" t="inlineStr">
        <is>
          <t xml:space="preserve">funding-tilt</t>
        </is>
      </c>
      <c r="D11" t="inlineStr">
        <is>
          <t xml:space="preserve">funding-carry</t>
        </is>
      </c>
      <c r="E11" s="6">
        <v>1</v>
      </c>
      <c r="F11" t="inlineStr">
        <is>
          <t xml:space="preserve">REJECTED</t>
        </is>
      </c>
      <c r="G11" t="inlineStr">
        <is>
          <t xml:space="preserve">dev-baseline</t>
        </is>
      </c>
      <c r="H11" t="inlineStr">
        <is>
          <t xml:space="preserve">Sharpe 0.37 &lt; 0.50; walk-forward: 2 of 4 folds failed</t>
        </is>
      </c>
      <c r="I11" t="inlineStr">
        <is>
          <t xml:space="preserve">defaults</t>
        </is>
      </c>
      <c r="J11" t="inlineStr">
        <is>
          <t xml:space="preserve">threshold=0.4, holdBars=96, stopMult=1.5</t>
        </is>
      </c>
      <c r="K11" t="inlineStr">
        <is>
          <t xml:space="preserve">threshold=0.4, holdBars=96, stopMult=1.5</t>
        </is>
      </c>
      <c r="M11" s="7">
        <v>0.07737830467398354</v>
      </c>
      <c r="N11" s="7">
        <v>0.0251721477954292</v>
      </c>
      <c r="O11" s="5">
        <v>1.1165656670798643</v>
      </c>
      <c r="P11" s="5">
        <v>0.3747284663479837</v>
      </c>
      <c r="Q11" s="5">
        <v>0.5739379463859596</v>
      </c>
      <c r="R11" s="5">
        <v>0.3062254368519082</v>
      </c>
      <c r="S11" s="7">
        <v>0.08220136137025923</v>
      </c>
      <c r="T11" s="6">
        <v>224</v>
      </c>
      <c r="U11" s="5">
        <v>74.71780821917808</v>
      </c>
      <c r="V11" s="7">
        <v>0.48214285714285715</v>
      </c>
      <c r="W11" s="8">
        <v>3.454388601517359</v>
      </c>
      <c r="X11" s="7">
        <v>0.7427701674277017</v>
      </c>
      <c r="Y11" s="5">
        <v>22.650223162529045</v>
      </c>
      <c r="Z11" s="8">
        <v>285.07148932732525</v>
      </c>
      <c r="AA11" s="8">
        <v>295.77637145056417</v>
      </c>
      <c r="AB11" s="8">
        <v>142.5357808882203</v>
      </c>
      <c r="AC11" s="8">
        <v>10773.783046739834</v>
      </c>
      <c r="AD11" s="7">
        <v>-0.034386682955794834</v>
      </c>
      <c r="AE11" s="7">
        <v>-0.008304608675010594</v>
      </c>
      <c r="AF11" s="7">
        <v>0.0744225294489369</v>
      </c>
      <c r="AG11" s="7">
        <v>0.007286764515904487</v>
      </c>
      <c r="AH11" s="6">
        <v>2</v>
      </c>
      <c r="AI11" s="7">
        <v>0.07737830467398354</v>
      </c>
      <c r="AJ11" s="5">
        <v>1.1165656670798643</v>
      </c>
      <c r="AK11" s="5">
        <v>0.3747284663479837</v>
      </c>
      <c r="AL11" s="7"/>
      <c r="AM11" s="5"/>
      <c r="AN11" s="5"/>
      <c r="AO11" s="7"/>
      <c r="AP11" s="6"/>
      <c r="AQ11" s="7"/>
      <c r="AR11" t="inlineStr">
        <is>
          <t xml:space="preserve">funding-crowding-fade with the crowding threshold widened up to the median split: short on a close crossing below EMA(24) when the 3-day funding rank &gt;= 1 - threshold, long on a cross above when &lt;= threshold (0.5 = take every cross, on the side opposite the funding tilt). Exit after holdBars; stop stopMult x dATR.</t>
        </is>
      </c>
      <c r="AS11" t="inlineStr">
        <is>
          <t xml:space="preserve">artifacts/runs/hunt_cycle_7/funding-tilt/baseline_dev</t>
        </is>
      </c>
      <c r="AU11" t="inlineStr">
        <is>
          <t xml:space="preserve">artifacts/hunt/cycle_7/report.html</t>
        </is>
      </c>
    </row>
    <row r="12">
      <c r="A12" s="6">
        <v>11</v>
      </c>
      <c r="B12" s="6">
        <v>3</v>
      </c>
      <c r="C12" t="inlineStr">
        <is>
          <t xml:space="preserve">donchian-breakout</t>
        </is>
      </c>
      <c r="D12" t="inlineStr">
        <is>
          <t xml:space="preserve">trend</t>
        </is>
      </c>
      <c r="E12" s="6">
        <v>1</v>
      </c>
      <c r="F12" t="inlineStr">
        <is>
          <t xml:space="preserve">REJECTED</t>
        </is>
      </c>
      <c r="G12" t="inlineStr">
        <is>
          <t xml:space="preserve">dev-baseline</t>
        </is>
      </c>
      <c r="H12" t="inlineStr">
        <is>
          <t xml:space="preserve">Sharpe 0.36 &lt; 0.50; walk-forward: 3 of 4 folds failed</t>
        </is>
      </c>
      <c r="I12" t="inlineStr">
        <is>
          <t xml:space="preserve">defaults</t>
        </is>
      </c>
      <c r="J12" t="inlineStr">
        <is>
          <t xml:space="preserve">entryLen=72, exitLen=24, atrMult=3</t>
        </is>
      </c>
      <c r="K12" t="inlineStr">
        <is>
          <t xml:space="preserve">entryLen=72, exitLen=24, atrMult=3</t>
        </is>
      </c>
      <c r="M12" s="7">
        <v>0.16640921495670757</v>
      </c>
      <c r="N12" s="7">
        <v>0.05268615261233078</v>
      </c>
      <c r="O12" s="5">
        <v>1.1006533914672518</v>
      </c>
      <c r="P12" s="5">
        <v>0.3639847687667663</v>
      </c>
      <c r="Q12" s="5">
        <v>0.6904090550557168</v>
      </c>
      <c r="R12" s="5">
        <v>0.2538595253809803</v>
      </c>
      <c r="S12" s="7">
        <v>0.20754057793680153</v>
      </c>
      <c r="T12" s="6">
        <v>272</v>
      </c>
      <c r="U12" s="5">
        <v>90.72876712328768</v>
      </c>
      <c r="V12" s="7">
        <v>0.30514705882352944</v>
      </c>
      <c r="W12" s="8">
        <v>6.117985843996461</v>
      </c>
      <c r="X12" s="7">
        <v>0.48314307458143074</v>
      </c>
      <c r="Y12" s="5">
        <v>75.50196025665203</v>
      </c>
      <c r="Z12" s="8">
        <v>908.0933418555765</v>
      </c>
      <c r="AA12" s="8">
        <v>-264.12862116799204</v>
      </c>
      <c r="AB12" s="8">
        <v>454.04680254222416</v>
      </c>
      <c r="AC12" s="8">
        <v>11664.092149567075</v>
      </c>
      <c r="AD12" s="7">
        <v>-0.014703851295967962</v>
      </c>
      <c r="AE12" s="7">
        <v>-0.05151725006666331</v>
      </c>
      <c r="AF12" s="7">
        <v>0.37000160473180776</v>
      </c>
      <c r="AG12" s="7">
        <v>-0.12031083571754418</v>
      </c>
      <c r="AH12" s="6">
        <v>1</v>
      </c>
      <c r="AI12" s="7">
        <v>0.16640921495670757</v>
      </c>
      <c r="AJ12" s="5">
        <v>1.1006533914672518</v>
      </c>
      <c r="AK12" s="5">
        <v>0.3639847687667663</v>
      </c>
      <c r="AL12" s="7"/>
      <c r="AM12" s="5"/>
      <c r="AN12" s="5"/>
      <c r="AO12" s="7"/>
      <c r="AP12" s="6"/>
      <c r="AQ12" s="7"/>
      <c r="AR12" t="inlineStr">
        <is>
          <t xml:space="preserve">Long when close &gt; highest high of the previous entryLen bars, short when close &lt; lowest low of the previous entryLen bars; exit long when close &lt; lowest low of the previous exitLen bars (short: close &gt; highest high of previous exitLen bars); stop at entry-bar close -/+ ATR(14) x atrMult.</t>
        </is>
      </c>
      <c r="AS12" t="inlineStr">
        <is>
          <t xml:space="preserve">artifacts/runs/hunt_cycle_3/donchian-breakout/baseline_dev</t>
        </is>
      </c>
      <c r="AU12" t="inlineStr">
        <is>
          <t xml:space="preserve">artifacts/hunt/cycle_3/report.html</t>
        </is>
      </c>
    </row>
    <row r="13">
      <c r="A13" s="6">
        <v>12</v>
      </c>
      <c r="B13" s="6">
        <v>10</v>
      </c>
      <c r="C13" t="inlineStr">
        <is>
          <t xml:space="preserve">ichimoku-cloud</t>
        </is>
      </c>
      <c r="D13" t="inlineStr">
        <is>
          <t xml:space="preserve">cloud-trend</t>
        </is>
      </c>
      <c r="E13" s="6">
        <v>1</v>
      </c>
      <c r="F13" t="inlineStr">
        <is>
          <t xml:space="preserve">REJECTED</t>
        </is>
      </c>
      <c r="G13" t="inlineStr">
        <is>
          <t xml:space="preserve">dev-baseline</t>
        </is>
      </c>
      <c r="H13" t="inlineStr">
        <is>
          <t xml:space="preserve">Sharpe 0.34 &lt; 0.50; walk-forward: 2 of 4 folds failed</t>
        </is>
      </c>
      <c r="I13" t="inlineStr">
        <is>
          <t xml:space="preserve">defaults</t>
        </is>
      </c>
      <c r="J13" t="inlineStr">
        <is>
          <t xml:space="preserve">tfHours=4, periodSet=1, atrMult=2.5</t>
        </is>
      </c>
      <c r="K13" t="inlineStr">
        <is>
          <t xml:space="preserve">tfHours=4, periodSet=1, atrMult=2.5</t>
        </is>
      </c>
      <c r="M13" s="7">
        <v>0.10182489877527769</v>
      </c>
      <c r="N13" s="7">
        <v>0.03287351688171225</v>
      </c>
      <c r="O13" s="5">
        <v>1.100604110112134</v>
      </c>
      <c r="P13" s="5">
        <v>0.3375599765501092</v>
      </c>
      <c r="Q13" s="5">
        <v>0.6023591661694478</v>
      </c>
      <c r="R13" s="5">
        <v>0.2167137692687435</v>
      </c>
      <c r="S13" s="7">
        <v>0.15169094696953148</v>
      </c>
      <c r="T13" s="6">
        <v>282</v>
      </c>
      <c r="U13" s="5">
        <v>94.06438356164384</v>
      </c>
      <c r="V13" s="7">
        <v>0.2907801418439716</v>
      </c>
      <c r="W13" s="8">
        <v>3.610812013307715</v>
      </c>
      <c r="X13" s="7">
        <v>0.5883942161339422</v>
      </c>
      <c r="Y13" s="5">
        <v>50.50565470468842</v>
      </c>
      <c r="Z13" s="8">
        <v>611.1428103279973</v>
      </c>
      <c r="AA13" s="8">
        <v>-287.642054250228</v>
      </c>
      <c r="AB13" s="8">
        <v>305.57149406821264</v>
      </c>
      <c r="AC13" s="8">
        <v>11018.248987752777</v>
      </c>
      <c r="AD13" s="7">
        <v>0.01247779653156722</v>
      </c>
      <c r="AE13" s="7">
        <v>-0.03444334132078841</v>
      </c>
      <c r="AF13" s="7">
        <v>0.21618450968728542</v>
      </c>
      <c r="AG13" s="7">
        <v>-0.028972930294783317</v>
      </c>
      <c r="AH13" s="6">
        <v>2</v>
      </c>
      <c r="AI13" s="7">
        <v>0.10182489877527769</v>
      </c>
      <c r="AJ13" s="5">
        <v>1.100604110112134</v>
      </c>
      <c r="AK13" s="5">
        <v>0.3375599765501092</v>
      </c>
      <c r="AL13" s="7"/>
      <c r="AM13" s="5"/>
      <c r="AN13" s="5"/>
      <c r="AO13" s="7"/>
      <c r="AP13" s="6"/>
      <c r="AQ13" s="7"/>
      <c r="AR13" t="inlineStr">
        <is>
          <t xml:space="preserve">Ichimoku 9/26/52/26 (periodSet 1) or 20/60/120/30 (periodSet 2): long when the close is above the cloud, tenkan &gt; kijun and the close is above the close displacement-1 periods ago, on the period that first becomes true; exit on a close below kijun; short: the mirror; stop atrMult x ATR.</t>
        </is>
      </c>
      <c r="AS13" t="inlineStr">
        <is>
          <t xml:space="preserve">artifacts/runs/hunt_cycle_10/ichimoku-cloud/baseline_dev</t>
        </is>
      </c>
      <c r="AU13" t="inlineStr">
        <is>
          <t xml:space="preserve">artifacts/hunt/cycle_10/report.html</t>
        </is>
      </c>
    </row>
    <row r="14">
      <c r="A14" s="6">
        <v>13</v>
      </c>
      <c r="B14" s="6">
        <v>7</v>
      </c>
      <c r="C14" t="inlineStr">
        <is>
          <t xml:space="preserve">funding-carry-tilt</t>
        </is>
      </c>
      <c r="D14" t="inlineStr">
        <is>
          <t xml:space="preserve">funding-carry</t>
        </is>
      </c>
      <c r="E14" s="6">
        <v>1</v>
      </c>
      <c r="F14" t="inlineStr">
        <is>
          <t xml:space="preserve">REJECTED</t>
        </is>
      </c>
      <c r="G14" t="inlineStr">
        <is>
          <t xml:space="preserve">dev-baseline</t>
        </is>
      </c>
      <c r="H14" t="inlineStr">
        <is>
          <t xml:space="preserve">Sharpe 0.26 &lt; 0.50; 36.7 trades/yr &lt; 50 (110 trades)</t>
        </is>
      </c>
      <c r="I14" t="inlineStr">
        <is>
          <t xml:space="preserve">defaults</t>
        </is>
      </c>
      <c r="J14" t="inlineStr">
        <is>
          <t xml:space="preserve">band=0.3, stopMult=2</t>
        </is>
      </c>
      <c r="K14" t="inlineStr">
        <is>
          <t xml:space="preserve">band=0.3, stopMult=2</t>
        </is>
      </c>
      <c r="M14" s="7">
        <v>0.02945950417214971</v>
      </c>
      <c r="N14" s="7">
        <v>0.009731646659958848</v>
      </c>
      <c r="O14" s="5">
        <v>1.1098681041085736</v>
      </c>
      <c r="P14" s="5">
        <v>0.25564119917656586</v>
      </c>
      <c r="Q14" s="5">
        <v>0.3925846649925424</v>
      </c>
      <c r="R14" s="5">
        <v>0.20324467857656958</v>
      </c>
      <c r="S14" s="7">
        <v>0.047881433984470034</v>
      </c>
      <c r="T14" s="6">
        <v>110</v>
      </c>
      <c r="U14" s="5">
        <v>36.69178082191781</v>
      </c>
      <c r="V14" s="7">
        <v>0.43636363636363634</v>
      </c>
      <c r="W14" s="8">
        <v>2.6781367429226854</v>
      </c>
      <c r="X14" s="7">
        <v>0.4615677321156773</v>
      </c>
      <c r="Y14" s="5">
        <v>8.58597999718316</v>
      </c>
      <c r="Z14" s="8">
        <v>104.33446962430128</v>
      </c>
      <c r="AA14" s="8">
        <v>191.9170854215566</v>
      </c>
      <c r="AB14" s="8">
        <v>52.16724517933752</v>
      </c>
      <c r="AC14" s="8">
        <v>10294.595041721497</v>
      </c>
      <c r="AD14" s="7">
        <v>0.020084821000434294</v>
      </c>
      <c r="AE14" s="7">
        <v>-0.02007412859713642</v>
      </c>
      <c r="AF14" s="7">
        <v>0.03703024411025657</v>
      </c>
      <c r="AG14" s="7">
        <v>0.036739000081675854</v>
      </c>
      <c r="AH14" s="6">
        <v>3</v>
      </c>
      <c r="AI14" s="7">
        <v>0.02945950417214971</v>
      </c>
      <c r="AJ14" s="5">
        <v>1.1098681041085736</v>
      </c>
      <c r="AK14" s="5">
        <v>0.25564119917656586</v>
      </c>
      <c r="AL14" s="7"/>
      <c r="AM14" s="5"/>
      <c r="AN14" s="5"/>
      <c r="AO14" s="7"/>
      <c r="AP14" s="6"/>
      <c r="AQ14" s="7"/>
      <c r="AR14" t="inlineStr">
        <is>
          <t xml:space="preserve">Funding alone, no price timing: on each daily close, short when the 3-day funding rank &gt;= 0.5 + band, long when &lt;= 0.5 - band, else flat; re-evaluated daily. Stop stopMult x dATR.</t>
        </is>
      </c>
      <c r="AS14" t="inlineStr">
        <is>
          <t xml:space="preserve">artifacts/runs/hunt_cycle_7/funding-carry-tilt/baseline_dev</t>
        </is>
      </c>
      <c r="AU14" t="inlineStr">
        <is>
          <t xml:space="preserve">artifacts/hunt/cycle_7/report.html</t>
        </is>
      </c>
    </row>
    <row r="15">
      <c r="A15" s="6">
        <v>14</v>
      </c>
      <c r="B15" s="6">
        <v>3</v>
      </c>
      <c r="C15" t="inlineStr">
        <is>
          <t xml:space="preserve">ts-momentum</t>
        </is>
      </c>
      <c r="D15" t="inlineStr">
        <is>
          <t xml:space="preserve">momentum</t>
        </is>
      </c>
      <c r="E15" s="6">
        <v>1</v>
      </c>
      <c r="F15" t="inlineStr">
        <is>
          <t xml:space="preserve">REJECTED</t>
        </is>
      </c>
      <c r="G15" t="inlineStr">
        <is>
          <t xml:space="preserve">dev-baseline</t>
        </is>
      </c>
      <c r="H15" t="inlineStr">
        <is>
          <t xml:space="preserve">PF 1.04 &lt; 1.10; Sharpe 0.25 &lt; 0.50; max DD 31.6% &gt; 30%; walk-forward: 2 of 4 folds failed</t>
        </is>
      </c>
      <c r="I15" t="inlineStr">
        <is>
          <t xml:space="preserve">defaults</t>
        </is>
      </c>
      <c r="J15" t="inlineStr">
        <is>
          <t xml:space="preserve">lookback=96, threshold=0.01, atrMult=3</t>
        </is>
      </c>
      <c r="K15" t="inlineStr">
        <is>
          <t xml:space="preserve">lookback=96, threshold=0.01, atrMult=3</t>
        </is>
      </c>
      <c r="M15" s="7">
        <v>0.09918944062449488</v>
      </c>
      <c r="N15" s="7">
        <v>0.03204878410088985</v>
      </c>
      <c r="O15" s="5">
        <v>1.0406745009889387</v>
      </c>
      <c r="P15" s="5">
        <v>0.25023564889518785</v>
      </c>
      <c r="Q15" s="5">
        <v>0.4190328021254228</v>
      </c>
      <c r="R15" s="5">
        <v>0.10156461201163747</v>
      </c>
      <c r="S15" s="7">
        <v>0.31555069690235843</v>
      </c>
      <c r="T15" s="6">
        <v>465</v>
      </c>
      <c r="U15" s="5">
        <v>155.10616438356166</v>
      </c>
      <c r="V15" s="7">
        <v>0.2731182795698925</v>
      </c>
      <c r="W15" s="8">
        <v>2.1331062499890616</v>
      </c>
      <c r="X15" s="7">
        <v>0.8977168949771689</v>
      </c>
      <c r="Y15" s="5">
        <v>132.97610785553573</v>
      </c>
      <c r="Z15" s="8">
        <v>1584.0914328339495</v>
      </c>
      <c r="AA15" s="8">
        <v>-362.57058809274645</v>
      </c>
      <c r="AB15" s="8">
        <v>792.0458656410674</v>
      </c>
      <c r="AC15" s="8">
        <v>10991.894406244948</v>
      </c>
      <c r="AD15" s="7">
        <v>0.27591814507905577</v>
      </c>
      <c r="AE15" s="7">
        <v>-0.09993714348485228</v>
      </c>
      <c r="AF15" s="7">
        <v>0.2353754068027587</v>
      </c>
      <c r="AG15" s="7">
        <v>-0.1255299481140537</v>
      </c>
      <c r="AH15" s="6">
        <v>2</v>
      </c>
      <c r="AI15" s="7">
        <v>0.09918944062449488</v>
      </c>
      <c r="AJ15" s="5">
        <v>1.0406745009889387</v>
      </c>
      <c r="AK15" s="5">
        <v>0.25023564889518785</v>
      </c>
      <c r="AL15" s="7"/>
      <c r="AM15" s="5"/>
      <c r="AN15" s="5"/>
      <c r="AO15" s="7"/>
      <c r="AP15" s="6"/>
      <c r="AQ15" s="7"/>
      <c r="AR15" t="inlineStr">
        <is>
          <t xml:space="preserve">Long when close / close[lookback] - 1 &gt; threshold, short when &lt; -threshold, otherwise keep the position; reversals flip directly; stop at entry-bar close -/+ ATR(14) x atrMult.</t>
        </is>
      </c>
      <c r="AS15" t="inlineStr">
        <is>
          <t xml:space="preserve">artifacts/runs/hunt_cycle_3/ts-momentum/baseline_dev</t>
        </is>
      </c>
      <c r="AU15" t="inlineStr">
        <is>
          <t xml:space="preserve">artifacts/hunt/cycle_3/report.html</t>
        </is>
      </c>
    </row>
    <row r="16">
      <c r="A16" s="6">
        <v>15</v>
      </c>
      <c r="B16" s="6">
        <v>5</v>
      </c>
      <c r="C16" t="inlineStr">
        <is>
          <t xml:space="preserve">nr-compression-breakout</t>
        </is>
      </c>
      <c r="D16" t="inlineStr">
        <is>
          <t xml:space="preserve">vol-compression</t>
        </is>
      </c>
      <c r="E16" s="6">
        <v>1</v>
      </c>
      <c r="F16" t="inlineStr">
        <is>
          <t xml:space="preserve">REJECTED</t>
        </is>
      </c>
      <c r="G16" t="inlineStr">
        <is>
          <t xml:space="preserve">dev-baseline</t>
        </is>
      </c>
      <c r="H16" t="inlineStr">
        <is>
          <t xml:space="preserve">PF 1.06 &lt; 1.10; Sharpe 0.24 &lt; 0.50; walk-forward: 2 of 4 folds failed</t>
        </is>
      </c>
      <c r="I16" t="inlineStr">
        <is>
          <t xml:space="preserve">defaults</t>
        </is>
      </c>
      <c r="J16" t="inlineStr">
        <is>
          <t xml:space="preserve">nrLen=4, holdBars=24, stopMult=1</t>
        </is>
      </c>
      <c r="K16" t="inlineStr">
        <is>
          <t xml:space="preserve">nrLen=4, holdBars=24, stopMult=1</t>
        </is>
      </c>
      <c r="M16" s="7">
        <v>0.05453500575370995</v>
      </c>
      <c r="N16" s="7">
        <v>0.017869884959750282</v>
      </c>
      <c r="O16" s="5">
        <v>1.0615246992127412</v>
      </c>
      <c r="P16" s="5">
        <v>0.240404492379695</v>
      </c>
      <c r="Q16" s="5">
        <v>0.4487325971324124</v>
      </c>
      <c r="R16" s="5">
        <v>0.12403597532979677</v>
      </c>
      <c r="S16" s="7">
        <v>0.14407017731941402</v>
      </c>
      <c r="T16" s="6">
        <v>219</v>
      </c>
      <c r="U16" s="5">
        <v>73.05000000000001</v>
      </c>
      <c r="V16" s="7">
        <v>0.4063926940639269</v>
      </c>
      <c r="W16" s="8">
        <v>2.4901829111285267</v>
      </c>
      <c r="X16" s="7">
        <v>0.1735159817351598</v>
      </c>
      <c r="Y16" s="5">
        <v>54.632584450587615</v>
      </c>
      <c r="Z16" s="8">
        <v>662.6362395377288</v>
      </c>
      <c r="AA16" s="8">
        <v>54.57381661356378</v>
      </c>
      <c r="AB16" s="8">
        <v>331.31817915809063</v>
      </c>
      <c r="AC16" s="8">
        <v>10545.3500575371</v>
      </c>
      <c r="AD16" s="7">
        <v>0.022628201570118245</v>
      </c>
      <c r="AE16" s="7">
        <v>-0.006532313419498004</v>
      </c>
      <c r="AF16" s="7">
        <v>0.008622299426648272</v>
      </c>
      <c r="AG16" s="7">
        <v>-0.06998348923321318</v>
      </c>
      <c r="AH16" s="6">
        <v>2</v>
      </c>
      <c r="AI16" s="7">
        <v>0.05453500575370995</v>
      </c>
      <c r="AJ16" s="5">
        <v>1.0615246992127412</v>
      </c>
      <c r="AK16" s="5">
        <v>0.240404492379695</v>
      </c>
      <c r="AL16" s="7"/>
      <c r="AM16" s="5"/>
      <c r="AN16" s="5"/>
      <c r="AO16" s="7"/>
      <c r="AP16" s="6"/>
      <c r="AQ16" s="7"/>
      <c r="AR16" t="inlineStr">
        <is>
          <t xml:space="preserve">A day whose range is narrower than each of the previous nrLen - 1 days sets up the next UTC day: the first close above its high goes long (below its low: short), once. Stop stopMult x setup range beyond the broken level; exit after holdBars.</t>
        </is>
      </c>
      <c r="AS16" t="inlineStr">
        <is>
          <t xml:space="preserve">artifacts/runs/hunt_cycle_5/nr-compression-breakout/baseline_dev</t>
        </is>
      </c>
      <c r="AU16" t="inlineStr">
        <is>
          <t xml:space="preserve">artifacts/hunt/cycle_5/report.html</t>
        </is>
      </c>
    </row>
    <row r="17">
      <c r="A17" s="6">
        <v>16</v>
      </c>
      <c r="B17" s="6">
        <v>12</v>
      </c>
      <c r="C17" t="inlineStr">
        <is>
          <t xml:space="preserve">turmoil-reversal</t>
        </is>
      </c>
      <c r="D17" t="inlineStr">
        <is>
          <t xml:space="preserve">turmoil-liquidity-provision</t>
        </is>
      </c>
      <c r="E17" s="6">
        <v>1</v>
      </c>
      <c r="F17" t="inlineStr">
        <is>
          <t xml:space="preserve">REJECTED</t>
        </is>
      </c>
      <c r="G17" t="inlineStr">
        <is>
          <t xml:space="preserve">dev-baseline</t>
        </is>
      </c>
      <c r="H17" t="inlineStr">
        <is>
          <t xml:space="preserve">PF 1.05 &lt; 1.10; Sharpe 0.16 &lt; 0.50; 41.7 trades/yr &lt; 50 (125 trades)</t>
        </is>
      </c>
      <c r="I17" t="inlineStr">
        <is>
          <t xml:space="preserve">defaults</t>
        </is>
      </c>
      <c r="J17" t="inlineStr">
        <is>
          <t xml:space="preserve">zEntry=1, volQuantile=0.7, holdPeriods=6</t>
        </is>
      </c>
      <c r="K17" t="inlineStr">
        <is>
          <t xml:space="preserve">zEntry=1, volQuantile=0.7, holdPeriods=6</t>
        </is>
      </c>
      <c r="M17" s="7">
        <v>0.024133952380868795</v>
      </c>
      <c r="N17" s="7">
        <v>0.00798627643374794</v>
      </c>
      <c r="O17" s="5">
        <v>1.0486392970669491</v>
      </c>
      <c r="P17" s="5">
        <v>0.15679430901095537</v>
      </c>
      <c r="Q17" s="5">
        <v>0.2337821104939886</v>
      </c>
      <c r="R17" s="5">
        <v>0.07627533627883529</v>
      </c>
      <c r="S17" s="7">
        <v>0.10470326088832932</v>
      </c>
      <c r="T17" s="6">
        <v>125</v>
      </c>
      <c r="U17" s="5">
        <v>41.695205479452056</v>
      </c>
      <c r="V17" s="7">
        <v>0.536</v>
      </c>
      <c r="W17" s="8">
        <v>1.9307161904695374</v>
      </c>
      <c r="X17" s="7">
        <v>0.06255707762557078</v>
      </c>
      <c r="Y17" s="5">
        <v>24.72044129414296</v>
      </c>
      <c r="Z17" s="8">
        <v>302.2466745994578</v>
      </c>
      <c r="AA17" s="8">
        <v>7.859780328333256</v>
      </c>
      <c r="AB17" s="8">
        <v>151.12336477372</v>
      </c>
      <c r="AC17" s="8">
        <v>10241.339523808687</v>
      </c>
      <c r="AD17" s="7">
        <v>0.0625138190637784</v>
      </c>
      <c r="AE17" s="7">
        <v>0.005479420671340884</v>
      </c>
      <c r="AF17" s="7">
        <v>-0.03254502139319937</v>
      </c>
      <c r="AG17" s="7">
        <v>0.0030970364220683777</v>
      </c>
      <c r="AH17" s="6">
        <v>3</v>
      </c>
      <c r="AI17" s="7">
        <v>0.024133952380868795</v>
      </c>
      <c r="AJ17" s="5">
        <v>1.0486392970669491</v>
      </c>
      <c r="AK17" s="5">
        <v>0.15679430901095537</v>
      </c>
      <c r="AL17" s="7"/>
      <c r="AM17" s="5"/>
      <c r="AN17" s="5"/>
      <c r="AO17" s="7"/>
      <c r="AP17" s="6"/>
      <c r="AQ17" s="7"/>
      <c r="AR17" t="inlineStr">
        <is>
          <t xml:space="preserve">On 4h bars: turmoil when 4h ATR(14) / open is &gt;= the volQuantile quantile of its previous 540 values (90 days); in turmoil fade a 4h body of &gt;= zEntry x the previous 4h ATR (long after a drop, short after a spike). Exit on a 4h close back across EMA(20) of 4h closes or after holdPeriods 4h bars; stop 1 4h-ATR beyond the period's extreme.</t>
        </is>
      </c>
      <c r="AS17" t="inlineStr">
        <is>
          <t xml:space="preserve">artifacts/runs/hunt_cycle_12/turmoil-reversal/baseline_dev</t>
        </is>
      </c>
      <c r="AU17" t="inlineStr">
        <is>
          <t xml:space="preserve">artifacts/hunt/cycle_12/report.html</t>
        </is>
      </c>
    </row>
    <row r="18">
      <c r="A18" s="6">
        <v>17</v>
      </c>
      <c r="B18" s="6">
        <v>4</v>
      </c>
      <c r="C18" t="inlineStr">
        <is>
          <t xml:space="preserve">vol-regime-switch</t>
        </is>
      </c>
      <c r="D18" t="inlineStr">
        <is>
          <t xml:space="preserve">regime-switch</t>
        </is>
      </c>
      <c r="E18" s="6">
        <v>1</v>
      </c>
      <c r="F18" t="inlineStr">
        <is>
          <t xml:space="preserve">REJECTED</t>
        </is>
      </c>
      <c r="G18" t="inlineStr">
        <is>
          <t xml:space="preserve">dev-baseline</t>
        </is>
      </c>
      <c r="H18" t="inlineStr">
        <is>
          <t xml:space="preserve">PF 1.01 &lt; 1.10; Sharpe 0.12 &lt; 0.50; max DD 30.1% &gt; 30%</t>
        </is>
      </c>
      <c r="I18" t="inlineStr">
        <is>
          <t xml:space="preserve">defaults</t>
        </is>
      </c>
      <c r="J18" t="inlineStr">
        <is>
          <t xml:space="preserve">regimeLen=720, channelLen=48, edgeFrac=0.1, atrMult=2</t>
        </is>
      </c>
      <c r="K18" t="inlineStr">
        <is>
          <t xml:space="preserve">regimeLen=720, channelLen=48, edgeFrac=0.1, atrMult=2</t>
        </is>
      </c>
      <c r="M18" s="7">
        <v>0.017272379504353674</v>
      </c>
      <c r="N18" s="7">
        <v>0.0057285581439461275</v>
      </c>
      <c r="O18" s="5">
        <v>1.008115793814945</v>
      </c>
      <c r="P18" s="5">
        <v>0.11934085126457301</v>
      </c>
      <c r="Q18" s="5">
        <v>0.2116717269267546</v>
      </c>
      <c r="R18" s="5">
        <v>0.01905403032951437</v>
      </c>
      <c r="S18" s="7">
        <v>0.3006481067195893</v>
      </c>
      <c r="T18" s="6">
        <v>436</v>
      </c>
      <c r="U18" s="5">
        <v>145.43287671232878</v>
      </c>
      <c r="V18" s="7">
        <v>0.3348623853211009</v>
      </c>
      <c r="W18" s="8">
        <v>0.39615549321914456</v>
      </c>
      <c r="X18" s="7">
        <v>0.22949010654490107</v>
      </c>
      <c r="Y18" s="5">
        <v>176.551070479</v>
      </c>
      <c r="Z18" s="8">
        <v>1976.713651632766</v>
      </c>
      <c r="AA18" s="8">
        <v>102.63698406891413</v>
      </c>
      <c r="AB18" s="8">
        <v>988.3569472226808</v>
      </c>
      <c r="AC18" s="8">
        <v>10172.723795043537</v>
      </c>
      <c r="AD18" s="7">
        <v>0.14433783280207413</v>
      </c>
      <c r="AE18" s="7">
        <v>-0.07191518833783994</v>
      </c>
      <c r="AF18" s="7">
        <v>0.18657477718923432</v>
      </c>
      <c r="AG18" s="7">
        <v>0.027698524843723815</v>
      </c>
      <c r="AH18" s="6">
        <v>3</v>
      </c>
      <c r="AI18" s="7">
        <v>0.017272379504353674</v>
      </c>
      <c r="AJ18" s="5">
        <v>1.008115793814945</v>
      </c>
      <c r="AK18" s="5">
        <v>0.11934085126457301</v>
      </c>
      <c r="AL18" s="7"/>
      <c r="AM18" s="5"/>
      <c r="AN18" s="5"/>
      <c r="AO18" s="7"/>
      <c r="AP18" s="6"/>
      <c r="AQ18" s="7"/>
      <c r="AR18" t="inlineStr">
        <is>
          <t xml:space="preserve">Quiet when ATR(14) &lt; its median over regimeLen bars, else expanding; HH/LL = previous channelLen bars. Quiet: long on a green close in the bottom edgeFrac of the channel (short: red close in the top edge), exit at the channel midpoint or after 24 bars, stop 0.5 ATR beyond the channel. Expanding: long on close &gt; HH (short: &lt; LL), exit on the opposite channelLen/2 channel, stop atrMult x ATR trailed on every close.</t>
        </is>
      </c>
      <c r="AS18" t="inlineStr">
        <is>
          <t xml:space="preserve">artifacts/runs/hunt_cycle_4/vol-regime-switch/baseline_dev</t>
        </is>
      </c>
      <c r="AU18" t="inlineStr">
        <is>
          <t xml:space="preserve">artifacts/hunt/cycle_4/report.html</t>
        </is>
      </c>
    </row>
    <row r="19">
      <c r="A19" s="6">
        <v>18</v>
      </c>
      <c r="B19" s="6">
        <v>5</v>
      </c>
      <c r="C19" t="inlineStr">
        <is>
          <t xml:space="preserve">tsmom-vote</t>
        </is>
      </c>
      <c r="D19" t="inlineStr">
        <is>
          <t xml:space="preserve">momentum-daily</t>
        </is>
      </c>
      <c r="E19" s="6">
        <v>1</v>
      </c>
      <c r="F19" t="inlineStr">
        <is>
          <t xml:space="preserve">REJECTED</t>
        </is>
      </c>
      <c r="G19" t="inlineStr">
        <is>
          <t xml:space="preserve">dev-baseline</t>
        </is>
      </c>
      <c r="H19" t="inlineStr">
        <is>
          <t xml:space="preserve">PF 1.03 &lt; 1.10; Sharpe 0.10 &lt; 0.50; walk-forward: 3 of 4 folds failed</t>
        </is>
      </c>
      <c r="I19" t="inlineStr">
        <is>
          <t xml:space="preserve">defaults</t>
        </is>
      </c>
      <c r="J19" t="inlineStr">
        <is>
          <t xml:space="preserve">baseDays=5, unanimous=0, stopMult=2</t>
        </is>
      </c>
      <c r="K19" t="inlineStr">
        <is>
          <t xml:space="preserve">baseDays=5, unanimous=0, stopMult=2</t>
        </is>
      </c>
      <c r="M19" s="7">
        <v>0.013054276946033783</v>
      </c>
      <c r="N19" s="7">
        <v>0.004335600859226796</v>
      </c>
      <c r="O19" s="5">
        <v>1.0300639217487868</v>
      </c>
      <c r="P19" s="5">
        <v>0.09663030927600731</v>
      </c>
      <c r="Q19" s="5">
        <v>0.14321972063675406</v>
      </c>
      <c r="R19" s="5">
        <v>0.041712925797745576</v>
      </c>
      <c r="S19" s="7">
        <v>0.10393902552529938</v>
      </c>
      <c r="T19" s="6">
        <v>172</v>
      </c>
      <c r="U19" s="5">
        <v>57.372602739726034</v>
      </c>
      <c r="V19" s="7">
        <v>0.27325581395348836</v>
      </c>
      <c r="W19" s="8">
        <v>0.7589695898857673</v>
      </c>
      <c r="X19" s="7">
        <v>0.9957762557077625</v>
      </c>
      <c r="Y19" s="5">
        <v>12.838392753890862</v>
      </c>
      <c r="Z19" s="8">
        <v>157.11103336864952</v>
      </c>
      <c r="AA19" s="8">
        <v>-286.83248467483236</v>
      </c>
      <c r="AB19" s="8">
        <v>78.55554280599793</v>
      </c>
      <c r="AC19" s="8">
        <v>10130.542769460337</v>
      </c>
      <c r="AD19" s="7">
        <v>-0.027941605400522485</v>
      </c>
      <c r="AE19" s="7">
        <v>-0.012779394216929751</v>
      </c>
      <c r="AF19" s="7">
        <v>0.05894173824030813</v>
      </c>
      <c r="AG19" s="7">
        <v>-0.024693601781402896</v>
      </c>
      <c r="AH19" s="6">
        <v>1</v>
      </c>
      <c r="AI19" s="7">
        <v>0.013054276946033783</v>
      </c>
      <c r="AJ19" s="5">
        <v>1.0300639217487868</v>
      </c>
      <c r="AK19" s="5">
        <v>0.09663030927600731</v>
      </c>
      <c r="AL19" s="7"/>
      <c r="AM19" s="5"/>
      <c r="AN19" s="5"/>
      <c r="AO19" s="7"/>
      <c r="AP19" s="6"/>
      <c r="AQ19" s="7"/>
      <c r="AR19" t="inlineStr">
        <is>
          <t xml:space="preserve">On each daily close, vote = signs of the returns over baseDays, 2 x baseDays and 4 x baseDays days; hold the majority direction (unanimous = 1: only when all three agree, else flat), re-evaluated daily (a stopped-out position is re-entered next day if the vote still holds). Stop stopMult x dATR from the signal close.</t>
        </is>
      </c>
      <c r="AS19" t="inlineStr">
        <is>
          <t xml:space="preserve">artifacts/runs/hunt_cycle_5/tsmom-vote/baseline_dev</t>
        </is>
      </c>
      <c r="AU19" t="inlineStr">
        <is>
          <t xml:space="preserve">artifacts/hunt/cycle_5/report.html</t>
        </is>
      </c>
    </row>
    <row r="20">
      <c r="A20" s="6">
        <v>19</v>
      </c>
      <c r="B20" s="6">
        <v>10</v>
      </c>
      <c r="C20" t="inlineStr">
        <is>
          <t xml:space="preserve">squeeze-momentum</t>
        </is>
      </c>
      <c r="D20" t="inlineStr">
        <is>
          <t xml:space="preserve">vol-compression</t>
        </is>
      </c>
      <c r="E20" s="6">
        <v>1</v>
      </c>
      <c r="F20" t="inlineStr">
        <is>
          <t xml:space="preserve">REJECTED</t>
        </is>
      </c>
      <c r="G20" t="inlineStr">
        <is>
          <t xml:space="preserve">dev-baseline</t>
        </is>
      </c>
      <c r="H20" t="inlineStr">
        <is>
          <t xml:space="preserve">PF 0.99 &lt; 1.10; Sharpe 0.02 &lt; 0.50; walk-forward: 2 of 4 folds failed</t>
        </is>
      </c>
      <c r="I20" t="inlineStr">
        <is>
          <t xml:space="preserve">defaults</t>
        </is>
      </c>
      <c r="J20" t="inlineStr">
        <is>
          <t xml:space="preserve">tfHours=4, kcMult=1.5, atrMult=2.5</t>
        </is>
      </c>
      <c r="K20" t="inlineStr">
        <is>
          <t xml:space="preserve">tfHours=4, kcMult=1.5, atrMult=2.5</t>
        </is>
      </c>
      <c r="M20" s="7">
        <v>-0.003728899001044339</v>
      </c>
      <c r="N20" s="7">
        <v>-0.0012453663837296292</v>
      </c>
      <c r="O20" s="5">
        <v>0.9928253141884466</v>
      </c>
      <c r="P20" s="5">
        <v>0.015896495468694365</v>
      </c>
      <c r="Q20" s="5">
        <v>0.029102955167911945</v>
      </c>
      <c r="R20" s="5">
        <v>-0.009542403727908516</v>
      </c>
      <c r="S20" s="7">
        <v>0.1305086662899544</v>
      </c>
      <c r="T20" s="6">
        <v>223</v>
      </c>
      <c r="U20" s="5">
        <v>74.38424657534247</v>
      </c>
      <c r="V20" s="7">
        <v>0.37668161434977576</v>
      </c>
      <c r="W20" s="8">
        <v>-0.16721520184074976</v>
      </c>
      <c r="X20" s="7">
        <v>0.16875951293759514</v>
      </c>
      <c r="Y20" s="5">
        <v>37.92424073669868</v>
      </c>
      <c r="Z20" s="8">
        <v>455.90804394446076</v>
      </c>
      <c r="AA20" s="8">
        <v>-11.469850981496224</v>
      </c>
      <c r="AB20" s="8">
        <v>227.95404829394846</v>
      </c>
      <c r="AC20" s="8">
        <v>9962.711009989556</v>
      </c>
      <c r="AD20" s="7">
        <v>0.0165456854410011</v>
      </c>
      <c r="AE20" s="7">
        <v>-0.024138832345485417</v>
      </c>
      <c r="AF20" s="7">
        <v>0.027659087920066217</v>
      </c>
      <c r="AG20" s="7">
        <v>-0.006253812442449269</v>
      </c>
      <c r="AH20" s="6">
        <v>2</v>
      </c>
      <c r="AI20" s="7">
        <v>-0.003728899001044339</v>
      </c>
      <c r="AJ20" s="5">
        <v>0.9928253141884466</v>
      </c>
      <c r="AK20" s="5">
        <v>0.015896495468694365</v>
      </c>
      <c r="AL20" s="7"/>
      <c r="AM20" s="5"/>
      <c r="AN20" s="5"/>
      <c r="AO20" s="7"/>
      <c r="AP20" s="6"/>
      <c r="AQ20" s="7"/>
      <c r="AR20" t="inlineStr">
        <is>
          <t xml:space="preserve">LazyBear Squeeze Momentum (20): when Bollinger(2 sd) leaves the Keltner channel (kcMult x SMA of true range) after a squeeze, enter in the direction of linreg momentum; exit when momentum turns back toward zero; stop atrMult x ATR(14) of the period bars.</t>
        </is>
      </c>
      <c r="AS20" t="inlineStr">
        <is>
          <t xml:space="preserve">artifacts/runs/hunt_cycle_10/squeeze-momentum/baseline_dev</t>
        </is>
      </c>
      <c r="AU20" t="inlineStr">
        <is>
          <t xml:space="preserve">artifacts/hunt/cycle_10/report.html</t>
        </is>
      </c>
    </row>
    <row r="21">
      <c r="A21" s="6">
        <v>20</v>
      </c>
      <c r="B21" s="6">
        <v>4</v>
      </c>
      <c r="C21" t="inlineStr">
        <is>
          <t xml:space="preserve">failed-breakout-fade</t>
        </is>
      </c>
      <c r="D21" t="inlineStr">
        <is>
          <t xml:space="preserve">range-structure</t>
        </is>
      </c>
      <c r="E21" s="6">
        <v>1</v>
      </c>
      <c r="F21" t="inlineStr">
        <is>
          <t xml:space="preserve">REJECTED</t>
        </is>
      </c>
      <c r="G21" t="inlineStr">
        <is>
          <t xml:space="preserve">dev-baseline</t>
        </is>
      </c>
      <c r="H21" t="inlineStr">
        <is>
          <t xml:space="preserve">PF 0.99 &lt; 1.10; Sharpe 0.01 &lt; 0.50</t>
        </is>
      </c>
      <c r="I21" t="inlineStr">
        <is>
          <t xml:space="preserve">defaults</t>
        </is>
      </c>
      <c r="J21" t="inlineStr">
        <is>
          <t xml:space="preserve">breakBars=6, excursionAtr=0.25, stopBufferAtr=0.5, maxHold=24</t>
        </is>
      </c>
      <c r="K21" t="inlineStr">
        <is>
          <t xml:space="preserve">breakBars=6, excursionAtr=0.25, stopBufferAtr=0.5, maxHold=24</t>
        </is>
      </c>
      <c r="M21" s="7">
        <v>-0.016371998740365767</v>
      </c>
      <c r="N21" s="7">
        <v>-0.005491137424488812</v>
      </c>
      <c r="O21" s="5">
        <v>0.9906154576045106</v>
      </c>
      <c r="P21" s="5">
        <v>0.012398852846392897</v>
      </c>
      <c r="Q21" s="5">
        <v>0.018752384280644577</v>
      </c>
      <c r="R21" s="5">
        <v>-0.028047325828626214</v>
      </c>
      <c r="S21" s="7">
        <v>0.1957811399931875</v>
      </c>
      <c r="T21" s="6">
        <v>381</v>
      </c>
      <c r="U21" s="5">
        <v>127.08698630136988</v>
      </c>
      <c r="V21" s="7">
        <v>0.5013123359580053</v>
      </c>
      <c r="W21" s="8">
        <v>-0.42971125302788177</v>
      </c>
      <c r="X21" s="7">
        <v>0.16255707762557076</v>
      </c>
      <c r="Y21" s="5">
        <v>154.36405805846442</v>
      </c>
      <c r="Z21" s="8">
        <v>1829.8738770297782</v>
      </c>
      <c r="AA21" s="8">
        <v>103.16652503369258</v>
      </c>
      <c r="AB21" s="8">
        <v>914.9370376318648</v>
      </c>
      <c r="AC21" s="8">
        <v>9836.280012596342</v>
      </c>
      <c r="AD21" s="7">
        <v>0.03046982166319978</v>
      </c>
      <c r="AE21" s="7">
        <v>0.054209391901067105</v>
      </c>
      <c r="AF21" s="7">
        <v>-0.021539004973421094</v>
      </c>
      <c r="AG21" s="7">
        <v>0.00845674162827681</v>
      </c>
      <c r="AH21" s="6">
        <v>3</v>
      </c>
      <c r="AI21" s="7">
        <v>-0.016371998740365767</v>
      </c>
      <c r="AJ21" s="5">
        <v>0.9906154576045106</v>
      </c>
      <c r="AK21" s="5">
        <v>0.012398852846392897</v>
      </c>
      <c r="AL21" s="7"/>
      <c r="AM21" s="5"/>
      <c r="AN21" s="5"/>
      <c r="AO21" s="7"/>
      <c r="AP21" s="6"/>
      <c r="AQ21" s="7"/>
      <c r="AR21" t="inlineStr">
        <is>
          <t xml:space="preserve">PDH/PDL = previous UTC day's high/low, M = midpoint. Long when close &gt;= PDL after 1..breakBars consecutive closes below PDL, the lowest low of those bars &lt;= PDL - excursionAtr x ATR(14), and M - close &gt;= 1 ATR (short: the mirror at PDH); exit when the close reaches M (taken at entry) or after maxHold bars; stop at the excursion extreme -/+ stopBufferAtr x ATR.</t>
        </is>
      </c>
      <c r="AS21" t="inlineStr">
        <is>
          <t xml:space="preserve">artifacts/runs/hunt_cycle_4/failed-breakout-fade/baseline_dev</t>
        </is>
      </c>
      <c r="AU21" t="inlineStr">
        <is>
          <t xml:space="preserve">artifacts/hunt/cycle_4/report.html</t>
        </is>
      </c>
    </row>
    <row r="22">
      <c r="A22" s="6">
        <v>21</v>
      </c>
      <c r="B22" s="6">
        <v>6</v>
      </c>
      <c r="C22" t="inlineStr">
        <is>
          <t xml:space="preserve">volume-conditioned-reversal</t>
        </is>
      </c>
      <c r="D22" t="inlineStr">
        <is>
          <t xml:space="preserve">price-volume</t>
        </is>
      </c>
      <c r="E22" s="6">
        <v>1</v>
      </c>
      <c r="F22" t="inlineStr">
        <is>
          <t xml:space="preserve">REJECTED</t>
        </is>
      </c>
      <c r="G22" t="inlineStr">
        <is>
          <t xml:space="preserve">dev-baseline</t>
        </is>
      </c>
      <c r="H22" t="inlineStr">
        <is>
          <t xml:space="preserve">PF 0.98 &lt; 1.10; Sharpe -0.03 &lt; 0.50; walk-forward: 2 of 4 folds failed</t>
        </is>
      </c>
      <c r="I22" t="inlineStr">
        <is>
          <t xml:space="preserve">defaults</t>
        </is>
      </c>
      <c r="J22" t="inlineStr">
        <is>
          <t xml:space="preserve">extremeFrac=0.25, holdDays=1, stopMult=1.5</t>
        </is>
      </c>
      <c r="K22" t="inlineStr">
        <is>
          <t xml:space="preserve">extremeFrac=0.25, holdDays=1, stopMult=1.5</t>
        </is>
      </c>
      <c r="M22" s="7">
        <v>-0.00841624064403479</v>
      </c>
      <c r="N22" s="7">
        <v>-0.002815245117414711</v>
      </c>
      <c r="O22" s="5">
        <v>0.9787651938468452</v>
      </c>
      <c r="P22" s="5">
        <v>-0.032896345074825084</v>
      </c>
      <c r="Q22" s="5">
        <v>-0.054044846099495475</v>
      </c>
      <c r="R22" s="5">
        <v>-0.027642339839430534</v>
      </c>
      <c r="S22" s="7">
        <v>0.10184539853601296</v>
      </c>
      <c r="T22" s="6">
        <v>227</v>
      </c>
      <c r="U22" s="5">
        <v>75.71849315068494</v>
      </c>
      <c r="V22" s="7">
        <v>0.42731277533039647</v>
      </c>
      <c r="W22" s="8">
        <v>-0.37075949973721617</v>
      </c>
      <c r="X22" s="7">
        <v>0.23710045662100454</v>
      </c>
      <c r="Y22" s="5">
        <v>21.191252400379383</v>
      </c>
      <c r="Z22" s="8">
        <v>256.87172720515457</v>
      </c>
      <c r="AA22" s="8">
        <v>-32.01664817277566</v>
      </c>
      <c r="AB22" s="8">
        <v>128.43587692905106</v>
      </c>
      <c r="AC22" s="8">
        <v>9915.837593559652</v>
      </c>
      <c r="AD22" s="7">
        <v>-0.009718029594307565</v>
      </c>
      <c r="AE22" s="7">
        <v>0.0010867349370780044</v>
      </c>
      <c r="AF22" s="7">
        <v>0.07243154814741826</v>
      </c>
      <c r="AG22" s="7">
        <v>-0.026031020323033727</v>
      </c>
      <c r="AH22" s="6">
        <v>2</v>
      </c>
      <c r="AI22" s="7">
        <v>-0.00841624064403479</v>
      </c>
      <c r="AJ22" s="5">
        <v>0.9787651938468452</v>
      </c>
      <c r="AK22" s="5">
        <v>-0.032896345074825084</v>
      </c>
      <c r="AL22" s="7"/>
      <c r="AM22" s="5"/>
      <c r="AN22" s="5"/>
      <c r="AO22" s="7"/>
      <c r="AP22" s="6"/>
      <c r="AQ22" s="7"/>
      <c r="AR22" t="inlineStr">
        <is>
          <t xml:space="preserve">A day is extreme when its |return| is in the top extremeFrac of the previous 90 days. Volume below the previous 30 days' median: fade it; above: follow it. Hold holdDays days (a new extreme day renews or flips). Stop stopMult x dATR.</t>
        </is>
      </c>
      <c r="AS22" t="inlineStr">
        <is>
          <t xml:space="preserve">artifacts/runs/hunt_cycle_6/volume-conditioned-reversal/baseline_dev</t>
        </is>
      </c>
      <c r="AU22" t="inlineStr">
        <is>
          <t xml:space="preserve">artifacts/hunt/cycle_6/report.html</t>
        </is>
      </c>
    </row>
    <row r="23">
      <c r="A23" s="6">
        <v>22</v>
      </c>
      <c r="B23" s="6">
        <v>9</v>
      </c>
      <c r="C23" t="inlineStr">
        <is>
          <t xml:space="preserve">cipher-b-confluence</t>
        </is>
      </c>
      <c r="D23" t="inlineStr">
        <is>
          <t xml:space="preserve">oscillator-reversal</t>
        </is>
      </c>
      <c r="E23" s="6">
        <v>1</v>
      </c>
      <c r="F23" t="inlineStr">
        <is>
          <t xml:space="preserve">REJECTED</t>
        </is>
      </c>
      <c r="G23" t="inlineStr">
        <is>
          <t xml:space="preserve">dev-baseline</t>
        </is>
      </c>
      <c r="H23" t="inlineStr">
        <is>
          <t xml:space="preserve">PF 0.95 &lt; 1.10; Sharpe -0.10 &lt; 0.50; walk-forward: 3 of 4 folds failed</t>
        </is>
      </c>
      <c r="I23" t="inlineStr">
        <is>
          <t xml:space="preserve">defaults</t>
        </is>
      </c>
      <c r="J23" t="inlineStr">
        <is>
          <t xml:space="preserve">tfHours=4, level=53, atrMult=2.5</t>
        </is>
      </c>
      <c r="K23" t="inlineStr">
        <is>
          <t xml:space="preserve">tfHours=4, level=53, atrMult=2.5</t>
        </is>
      </c>
      <c r="M23" s="7">
        <v>-0.024497674043295392</v>
      </c>
      <c r="N23" s="7">
        <v>-0.008239111834078328</v>
      </c>
      <c r="O23" s="5">
        <v>0.9549814498067312</v>
      </c>
      <c r="P23" s="5">
        <v>-0.09690263973625562</v>
      </c>
      <c r="Q23" s="5">
        <v>-0.15367745432348728</v>
      </c>
      <c r="R23" s="5">
        <v>-0.06885541969736779</v>
      </c>
      <c r="S23" s="7">
        <v>0.11965814557940009</v>
      </c>
      <c r="T23" s="6">
        <v>183</v>
      </c>
      <c r="U23" s="5">
        <v>61.04178082191781</v>
      </c>
      <c r="V23" s="7">
        <v>0.3551912568306011</v>
      </c>
      <c r="W23" s="8">
        <v>-1.3386707127484512</v>
      </c>
      <c r="X23" s="7">
        <v>0.2153729071537291</v>
      </c>
      <c r="Y23" s="5">
        <v>28.362238195130832</v>
      </c>
      <c r="Z23" s="8">
        <v>341.39195736077176</v>
      </c>
      <c r="AA23" s="8">
        <v>155.557031482566</v>
      </c>
      <c r="AB23" s="8">
        <v>170.69598314255262</v>
      </c>
      <c r="AC23" s="8">
        <v>9755.023259567046</v>
      </c>
      <c r="AD23" s="7">
        <v>-0.002768521430420834</v>
      </c>
      <c r="AE23" s="7">
        <v>0.001200034584005083</v>
      </c>
      <c r="AF23" s="7">
        <v>-0.007944354851076252</v>
      </c>
      <c r="AG23" s="7">
        <v>-0.006373567123533985</v>
      </c>
      <c r="AH23" s="6">
        <v>1</v>
      </c>
      <c r="AI23" s="7">
        <v>-0.024497674043295392</v>
      </c>
      <c r="AJ23" s="5">
        <v>0.9549814498067312</v>
      </c>
      <c r="AK23" s="5">
        <v>-0.09690263973625562</v>
      </c>
      <c r="AL23" s="7"/>
      <c r="AM23" s="5"/>
      <c r="AN23" s="5"/>
      <c r="AO23" s="7"/>
      <c r="AP23" s="6"/>
      <c r="AQ23" s="7"/>
      <c r="AR23" t="inlineStr">
        <is>
          <t xml:space="preserve">Market Cipher B confluence: the cipher-b-dots circle (WT cross at +/-level) only when money flow is turning the same way and Stochastic RSI (log, 14/14/3/3) %K is above %D for a buy (below for a sell). Exit on the opposite WT cross; stop atrMult x ATR(14) of the period bars.</t>
        </is>
      </c>
      <c r="AS23" t="inlineStr">
        <is>
          <t xml:space="preserve">artifacts/runs/hunt_cycle_9/cipher-b-confluence/baseline_dev</t>
        </is>
      </c>
      <c r="AU23" t="inlineStr">
        <is>
          <t xml:space="preserve">artifacts/hunt/cycle_9/report.html</t>
        </is>
      </c>
    </row>
    <row r="24">
      <c r="A24" s="6">
        <v>23</v>
      </c>
      <c r="B24" s="6">
        <v>6</v>
      </c>
      <c r="C24" t="inlineStr">
        <is>
          <t xml:space="preserve">mtf-trend-pullback</t>
        </is>
      </c>
      <c r="D24" t="inlineStr">
        <is>
          <t xml:space="preserve">multi-timeframe-trend</t>
        </is>
      </c>
      <c r="E24" s="6">
        <v>1</v>
      </c>
      <c r="F24" t="inlineStr">
        <is>
          <t xml:space="preserve">REJECTED</t>
        </is>
      </c>
      <c r="G24" t="inlineStr">
        <is>
          <t xml:space="preserve">dev-baseline</t>
        </is>
      </c>
      <c r="H24" t="inlineStr">
        <is>
          <t xml:space="preserve">PF 0.93 &lt; 1.10; Sharpe -0.13 &lt; 0.50; 49.0 trades/yr &lt; 50 (147 trades); walk-forward: 3 of 4 folds failed</t>
        </is>
      </c>
      <c r="I24" t="inlineStr">
        <is>
          <t xml:space="preserve">defaults</t>
        </is>
      </c>
      <c r="J24" t="inlineStr">
        <is>
          <t xml:space="preserve">maDays=20, entryLen=24, trailMult=2</t>
        </is>
      </c>
      <c r="K24" t="inlineStr">
        <is>
          <t xml:space="preserve">maDays=20, entryLen=24, trailMult=2</t>
        </is>
      </c>
      <c r="M24" s="7">
        <v>-0.02862088898038806</v>
      </c>
      <c r="N24" s="7">
        <v>-0.009639354905458641</v>
      </c>
      <c r="O24" s="5">
        <v>0.9298455973958026</v>
      </c>
      <c r="P24" s="5">
        <v>-0.13246917028078697</v>
      </c>
      <c r="Q24" s="5">
        <v>-0.20245348212195335</v>
      </c>
      <c r="R24" s="5">
        <v>-0.08570439947154987</v>
      </c>
      <c r="S24" s="7">
        <v>0.11247211304080708</v>
      </c>
      <c r="T24" s="6">
        <v>147</v>
      </c>
      <c r="U24" s="5">
        <v>49.03356164383562</v>
      </c>
      <c r="V24" s="7">
        <v>0.25170068027210885</v>
      </c>
      <c r="W24" s="8">
        <v>-1.9469992503665126</v>
      </c>
      <c r="X24" s="7">
        <v>0.8451293759512937</v>
      </c>
      <c r="Y24" s="5">
        <v>11.21768715345799</v>
      </c>
      <c r="Z24" s="8">
        <v>133.5624016006916</v>
      </c>
      <c r="AA24" s="8">
        <v>-273.04781096636583</v>
      </c>
      <c r="AB24" s="8">
        <v>66.78120828764709</v>
      </c>
      <c r="AC24" s="8">
        <v>9713.79111019612</v>
      </c>
      <c r="AD24" s="7">
        <v>-0.0018230749811447566</v>
      </c>
      <c r="AE24" s="7">
        <v>-0.018577385784810385</v>
      </c>
      <c r="AF24" s="7">
        <v>0.08495920353367946</v>
      </c>
      <c r="AG24" s="7">
        <v>-0.041783553458396794</v>
      </c>
      <c r="AH24" s="6">
        <v>1</v>
      </c>
      <c r="AI24" s="7">
        <v>-0.02862088898038806</v>
      </c>
      <c r="AJ24" s="5">
        <v>0.9298455973958026</v>
      </c>
      <c r="AK24" s="5">
        <v>-0.13246917028078697</v>
      </c>
      <c r="AL24" s="7"/>
      <c r="AM24" s="5"/>
      <c r="AN24" s="5"/>
      <c r="AO24" s="7"/>
      <c r="AP24" s="6"/>
      <c r="AQ24" s="7"/>
      <c r="AR24" t="inlineStr">
        <is>
          <t xml:space="preserve">Daily regime = sign(daily close - SMA of the last maDays daily closes). Up regime: long when the hourly close crosses back above EMA(entryLen); down regime: short on a cross below. Exit when the daily regime no longer matches; stop trails the best close by trailMult x dATR.</t>
        </is>
      </c>
      <c r="AS24" t="inlineStr">
        <is>
          <t xml:space="preserve">artifacts/runs/hunt_cycle_6/mtf-trend-pullback/baseline_dev</t>
        </is>
      </c>
      <c r="AU24" t="inlineStr">
        <is>
          <t xml:space="preserve">artifacts/hunt/cycle_6/report.html</t>
        </is>
      </c>
    </row>
    <row r="25">
      <c r="A25" s="6">
        <v>24</v>
      </c>
      <c r="B25" s="6">
        <v>9</v>
      </c>
      <c r="C25" t="inlineStr">
        <is>
          <t xml:space="preserve">cipher-b-dots</t>
        </is>
      </c>
      <c r="D25" t="inlineStr">
        <is>
          <t xml:space="preserve">oscillator-reversal</t>
        </is>
      </c>
      <c r="E25" s="6">
        <v>1</v>
      </c>
      <c r="F25" t="inlineStr">
        <is>
          <t xml:space="preserve">REJECTED</t>
        </is>
      </c>
      <c r="G25" t="inlineStr">
        <is>
          <t xml:space="preserve">dev-baseline</t>
        </is>
      </c>
      <c r="H25" t="inlineStr">
        <is>
          <t xml:space="preserve">PF 0.93 &lt; 1.10; Sharpe -0.19 &lt; 0.50; walk-forward: 4 of 4 folds failed</t>
        </is>
      </c>
      <c r="I25" t="inlineStr">
        <is>
          <t xml:space="preserve">defaults</t>
        </is>
      </c>
      <c r="J25" t="inlineStr">
        <is>
          <t xml:space="preserve">tfHours=4, level=53, atrMult=2.5</t>
        </is>
      </c>
      <c r="K25" t="inlineStr">
        <is>
          <t xml:space="preserve">tfHours=4, level=53, atrMult=2.5</t>
        </is>
      </c>
      <c r="M25" s="7">
        <v>-0.05507216744010545</v>
      </c>
      <c r="N25" s="7">
        <v>-0.018717778993635914</v>
      </c>
      <c r="O25" s="5">
        <v>0.9341447895253857</v>
      </c>
      <c r="P25" s="5">
        <v>-0.19334691204320395</v>
      </c>
      <c r="Q25" s="5">
        <v>-0.3032731368100268</v>
      </c>
      <c r="R25" s="5">
        <v>-0.16876631522048807</v>
      </c>
      <c r="S25" s="7">
        <v>0.11090944877940662</v>
      </c>
      <c r="T25" s="6">
        <v>300</v>
      </c>
      <c r="U25" s="5">
        <v>100.06849315068494</v>
      </c>
      <c r="V25" s="7">
        <v>0.35333333333333333</v>
      </c>
      <c r="W25" s="8">
        <v>-1.8357389146701444</v>
      </c>
      <c r="X25" s="7">
        <v>0.3472983257229833</v>
      </c>
      <c r="Y25" s="5">
        <v>47.52423207608029</v>
      </c>
      <c r="Z25" s="8">
        <v>567.8879292379235</v>
      </c>
      <c r="AA25" s="8">
        <v>206.70628385244166</v>
      </c>
      <c r="AB25" s="8">
        <v>283.9439683951194</v>
      </c>
      <c r="AC25" s="8">
        <v>9449.278325598945</v>
      </c>
      <c r="AD25" s="7">
        <v>-0.016049502866257392</v>
      </c>
      <c r="AE25" s="7">
        <v>-0.01982638987407115</v>
      </c>
      <c r="AF25" s="7">
        <v>-0.018304134207222655</v>
      </c>
      <c r="AG25" s="7">
        <v>-0.009248891187016883</v>
      </c>
      <c r="AH25" s="6">
        <v>0</v>
      </c>
      <c r="AI25" s="7">
        <v>-0.05507216744010545</v>
      </c>
      <c r="AJ25" s="5">
        <v>0.9341447895253857</v>
      </c>
      <c r="AK25" s="5">
        <v>-0.19334691204320395</v>
      </c>
      <c r="AL25" s="7"/>
      <c r="AM25" s="5"/>
      <c r="AN25" s="5"/>
      <c r="AO25" s="7"/>
      <c r="AP25" s="6"/>
      <c r="AQ25" s="7"/>
      <c r="AR25" t="inlineStr">
        <is>
          <t xml:space="preserve">Market Cipher B green/red circles on tfHours bars: long when WT1 crosses above WT2 with WT2 &lt;= -level, short when it crosses below with WT2 &gt;= level; exit on the opposite WT cross (flip if that cross is a signal); stop atrMult x ATR(14) of the period bars.</t>
        </is>
      </c>
      <c r="AS25" t="inlineStr">
        <is>
          <t xml:space="preserve">artifacts/runs/hunt_cycle_9/cipher-b-dots/baseline_dev</t>
        </is>
      </c>
      <c r="AU25" t="inlineStr">
        <is>
          <t xml:space="preserve">artifacts/hunt/cycle_9/report.html</t>
        </is>
      </c>
    </row>
    <row r="26">
      <c r="A26" s="6">
        <v>25</v>
      </c>
      <c r="B26" s="6">
        <v>9</v>
      </c>
      <c r="C26" t="inlineStr">
        <is>
          <t xml:space="preserve">cipher-b-divergence</t>
        </is>
      </c>
      <c r="D26" t="inlineStr">
        <is>
          <t xml:space="preserve">oscillator-divergence</t>
        </is>
      </c>
      <c r="E26" s="6">
        <v>1</v>
      </c>
      <c r="F26" t="inlineStr">
        <is>
          <t xml:space="preserve">REJECTED</t>
        </is>
      </c>
      <c r="G26" t="inlineStr">
        <is>
          <t xml:space="preserve">dev-baseline</t>
        </is>
      </c>
      <c r="H26" t="inlineStr">
        <is>
          <t xml:space="preserve">PF 0.88 &lt; 1.10; Sharpe -0.28 &lt; 0.50; 46.7 trades/yr &lt; 50 (140 trades); walk-forward: 4 of 4 folds failed</t>
        </is>
      </c>
      <c r="I26" t="inlineStr">
        <is>
          <t xml:space="preserve">defaults</t>
        </is>
      </c>
      <c r="J26" t="inlineStr">
        <is>
          <t xml:space="preserve">tfHours=2, limitScale=1, atrMult=2</t>
        </is>
      </c>
      <c r="K26" t="inlineStr">
        <is>
          <t xml:space="preserve">tfHours=2, limitScale=1, atrMult=2</t>
        </is>
      </c>
      <c r="M26" s="7">
        <v>-0.051573323717831625</v>
      </c>
      <c r="N26" s="7">
        <v>-0.01750728994934536</v>
      </c>
      <c r="O26" s="5">
        <v>0.8815027593261154</v>
      </c>
      <c r="P26" s="5">
        <v>-0.2805104828223503</v>
      </c>
      <c r="Q26" s="5">
        <v>-0.4712206972147482</v>
      </c>
      <c r="R26" s="5">
        <v>-0.12260791988874718</v>
      </c>
      <c r="S26" s="7">
        <v>0.14279085694652716</v>
      </c>
      <c r="T26" s="6">
        <v>140</v>
      </c>
      <c r="U26" s="5">
        <v>46.6986301369863</v>
      </c>
      <c r="V26" s="7">
        <v>0.37142857142857144</v>
      </c>
      <c r="W26" s="8">
        <v>-3.683808836988087</v>
      </c>
      <c r="X26" s="7">
        <v>0.0743531202435312</v>
      </c>
      <c r="Y26" s="5">
        <v>36.59501156971419</v>
      </c>
      <c r="Z26" s="8">
        <v>454.1247022783169</v>
      </c>
      <c r="AA26" s="8">
        <v>122.93917574696871</v>
      </c>
      <c r="AB26" s="8">
        <v>227.0623528397441</v>
      </c>
      <c r="AC26" s="8">
        <v>9484.266762821684</v>
      </c>
      <c r="AD26" s="7">
        <v>-0.0268409213413906</v>
      </c>
      <c r="AE26" s="7">
        <v>-0.01896803462306107</v>
      </c>
      <c r="AF26" s="7">
        <v>-0.03249109557704888</v>
      </c>
      <c r="AG26" s="7">
        <v>-0.03282504337040859</v>
      </c>
      <c r="AH26" s="6">
        <v>0</v>
      </c>
      <c r="AI26" s="7">
        <v>-0.051573323717831625</v>
      </c>
      <c r="AJ26" s="5">
        <v>0.8815027593261154</v>
      </c>
      <c r="AK26" s="5">
        <v>-0.2805104828223503</v>
      </c>
      <c r="AL26" s="7"/>
      <c r="AM26" s="5"/>
      <c r="AN26" s="5"/>
      <c r="AO26" s="7"/>
      <c r="AP26" s="6"/>
      <c r="AQ26" s="7"/>
      <c r="AR26" t="inlineStr">
        <is>
          <t xml:space="preserve">Market Cipher B divergences: a 5-bar WT2 bottom fractal &lt;= -65 x limitScale with a lower price low but higher WT2 than the previous such fractal goes long when confirmed; a top fractal &gt;= 45 x limitScale with a higher high and lower WT2 goes short. Exit on the opposite WT cross; stop atrMult x ATR(14) of the period bars.</t>
        </is>
      </c>
      <c r="AS26" t="inlineStr">
        <is>
          <t xml:space="preserve">artifacts/runs/hunt_cycle_9/cipher-b-divergence/baseline_dev</t>
        </is>
      </c>
      <c r="AU26" t="inlineStr">
        <is>
          <t xml:space="preserve">artifacts/hunt/cycle_9/report.html</t>
        </is>
      </c>
    </row>
    <row r="27">
      <c r="A27" s="6">
        <v>26</v>
      </c>
      <c r="B27" s="6">
        <v>9</v>
      </c>
      <c r="C27" t="inlineStr">
        <is>
          <t xml:space="preserve">cipher-b-sommi-flag</t>
        </is>
      </c>
      <c r="D27" t="inlineStr">
        <is>
          <t xml:space="preserve">oscillator-continuation</t>
        </is>
      </c>
      <c r="E27" s="6">
        <v>1</v>
      </c>
      <c r="F27" t="inlineStr">
        <is>
          <t xml:space="preserve">REJECTED</t>
        </is>
      </c>
      <c r="G27" t="inlineStr">
        <is>
          <t xml:space="preserve">dev-baseline</t>
        </is>
      </c>
      <c r="H27" t="inlineStr">
        <is>
          <t xml:space="preserve">PF 0.87 &lt; 1.10; Sharpe -0.37 &lt; 0.50; walk-forward: 4 of 4 folds failed</t>
        </is>
      </c>
      <c r="I27" t="inlineStr">
        <is>
          <t xml:space="preserve">defaults</t>
        </is>
      </c>
      <c r="J27" t="inlineStr">
        <is>
          <t xml:space="preserve">tfHours=2, htfHours=12, atrMult=2.5</t>
        </is>
      </c>
      <c r="K27" t="inlineStr">
        <is>
          <t xml:space="preserve">tfHours=2, htfHours=12, atrMult=2.5</t>
        </is>
      </c>
      <c r="M27" s="7">
        <v>-0.05708588089683886</v>
      </c>
      <c r="N27" s="7">
        <v>-0.019415814834168987</v>
      </c>
      <c r="O27" s="5">
        <v>0.8709879561853328</v>
      </c>
      <c r="P27" s="5">
        <v>-0.3652740290106735</v>
      </c>
      <c r="Q27" s="5">
        <v>-0.5720190829160748</v>
      </c>
      <c r="R27" s="5">
        <v>-0.13615260063400164</v>
      </c>
      <c r="S27" s="7">
        <v>0.14260333437450506</v>
      </c>
      <c r="T27" s="6">
        <v>180</v>
      </c>
      <c r="U27" s="5">
        <v>60.041095890410965</v>
      </c>
      <c r="V27" s="7">
        <v>0.2888888888888889</v>
      </c>
      <c r="W27" s="8">
        <v>-3.1714378276020403</v>
      </c>
      <c r="X27" s="7">
        <v>0.06506849315068493</v>
      </c>
      <c r="Y27" s="5">
        <v>53.03033425934838</v>
      </c>
      <c r="Z27" s="8">
        <v>641.4345696356373</v>
      </c>
      <c r="AA27" s="8">
        <v>14.668213757478908</v>
      </c>
      <c r="AB27" s="8">
        <v>320.71729988281254</v>
      </c>
      <c r="AC27" s="8">
        <v>9429.141191031611</v>
      </c>
      <c r="AD27" s="7">
        <v>-0.02848966717930268</v>
      </c>
      <c r="AE27" s="7">
        <v>-0.008732656380173509</v>
      </c>
      <c r="AF27" s="7">
        <v>-0.00547930301978472</v>
      </c>
      <c r="AG27" s="7">
        <v>-0.040624665221397634</v>
      </c>
      <c r="AH27" s="6">
        <v>0</v>
      </c>
      <c r="AI27" s="7">
        <v>-0.05708588089683886</v>
      </c>
      <c r="AJ27" s="5">
        <v>0.8709879561853328</v>
      </c>
      <c r="AK27" s="5">
        <v>-0.3652740290106735</v>
      </c>
      <c r="AL27" s="7"/>
      <c r="AM27" s="5"/>
      <c r="AN27" s="5"/>
      <c r="AO27" s="7"/>
      <c r="AP27" s="6"/>
      <c r="AQ27" s="7"/>
      <c r="AR27" t="inlineStr">
        <is>
          <t xml:space="preserve">Market Cipher B 'Sommi flag': long when money flow (RSI+MFI area 60, x150, -2.5) &gt; 0, WT2 &lt; 0, WT1 crosses up and the WT1 - WT2 of the last completed htfHours bar is &gt; 0; short: the mirror. Exit on the opposite WT cross; stop atrMult x ATR(14) of the period bars.</t>
        </is>
      </c>
      <c r="AS27" t="inlineStr">
        <is>
          <t xml:space="preserve">artifacts/runs/hunt_cycle_9/cipher-b-sommi-flag/baseline_dev</t>
        </is>
      </c>
      <c r="AU27" t="inlineStr">
        <is>
          <t xml:space="preserve">artifacts/hunt/cycle_9/report.html</t>
        </is>
      </c>
    </row>
    <row r="28">
      <c r="A28" s="6">
        <v>27</v>
      </c>
      <c r="B28" s="6">
        <v>11</v>
      </c>
      <c r="C28" t="inlineStr">
        <is>
          <t xml:space="preserve">dca-rsi-long</t>
        </is>
      </c>
      <c r="D28" t="inlineStr">
        <is>
          <t xml:space="preserve">dca-grid</t>
        </is>
      </c>
      <c r="E28" s="6">
        <v>1</v>
      </c>
      <c r="F28" t="inlineStr">
        <is>
          <t xml:space="preserve">REJECTED</t>
        </is>
      </c>
      <c r="G28" t="inlineStr">
        <is>
          <t xml:space="preserve">dev-baseline</t>
        </is>
      </c>
      <c r="H28" t="inlineStr">
        <is>
          <t xml:space="preserve">PF 0.74 &lt; 1.10; Sharpe -0.46 &lt; 0.50; walk-forward: 3 of 4 folds failed</t>
        </is>
      </c>
      <c r="I28" t="inlineStr">
        <is>
          <t xml:space="preserve">defaults</t>
        </is>
      </c>
      <c r="J28" t="inlineStr">
        <is>
          <t xml:space="preserve">rsiLevel=30, overlap=0.1, takeProfit=0.01, orders=5, martingale=0.15</t>
        </is>
      </c>
      <c r="K28" t="inlineStr">
        <is>
          <t xml:space="preserve">rsiLevel=30, overlap=0.1, takeProfit=0.01, orders=5, martingale=0.15</t>
        </is>
      </c>
      <c r="M28" s="7">
        <v>-0.023479309278480853</v>
      </c>
      <c r="N28" s="7">
        <v>-0.007893882949442377</v>
      </c>
      <c r="O28" s="5">
        <v>0.7433853284012802</v>
      </c>
      <c r="P28" s="5">
        <v>-0.4608104501183657</v>
      </c>
      <c r="Q28" s="5">
        <v>-0.5394910982641992</v>
      </c>
      <c r="R28" s="5">
        <v>-0.14389375673985708</v>
      </c>
      <c r="S28" s="7">
        <v>0.05485910666515981</v>
      </c>
      <c r="T28" s="6">
        <v>272</v>
      </c>
      <c r="U28" s="5">
        <v>90.72876712328768</v>
      </c>
      <c r="V28" s="7">
        <v>0.9669117647058824</v>
      </c>
      <c r="W28" s="8">
        <v>-0.8632098999442386</v>
      </c>
      <c r="X28" s="7">
        <v>0.18668188736681887</v>
      </c>
      <c r="Y28" s="5">
        <v>5.267691435726496</v>
      </c>
      <c r="Z28" s="8">
        <v>62.76279692176853</v>
      </c>
      <c r="AA28" s="8">
        <v>-17.630356784446715</v>
      </c>
      <c r="AB28" s="8">
        <v>31.38139354014244</v>
      </c>
      <c r="AC28" s="8">
        <v>9765.206907215192</v>
      </c>
      <c r="AD28" s="7">
        <v>-0.016695408072435414</v>
      </c>
      <c r="AE28" s="7">
        <v>-0.017811838781537692</v>
      </c>
      <c r="AF28" s="7">
        <v>0.0025416016027701716</v>
      </c>
      <c r="AG28" s="7">
        <v>-0.007891197856214949</v>
      </c>
      <c r="AH28" s="6">
        <v>1</v>
      </c>
      <c r="AI28" s="7">
        <v>-0.023479309278480853</v>
      </c>
      <c r="AJ28" s="5">
        <v>0.7433853284012802</v>
      </c>
      <c r="AK28" s="5">
        <v>-0.4608104501183657</v>
      </c>
      <c r="AL28" s="7"/>
      <c r="AM28" s="5"/>
      <c r="AN28" s="5"/>
      <c r="AO28" s="7"/>
      <c r="AP28" s="6"/>
      <c r="AQ28" s="7"/>
      <c r="AR28" t="inlineStr">
        <is>
          <t xml:space="preserve">dca-grid-long (5 orders, martingale 15%) that starts a deal only when RSI(14) of 1h closes is below rsiLevel at a bar's close.</t>
        </is>
      </c>
      <c r="AS28" t="inlineStr">
        <is>
          <t xml:space="preserve">artifacts/runs/hunt_cycle_11/dca-rsi-long/baseline_dev</t>
        </is>
      </c>
      <c r="AU28" t="inlineStr">
        <is>
          <t xml:space="preserve">artifacts/hunt/cycle_11/report.html</t>
        </is>
      </c>
    </row>
    <row r="29">
      <c r="A29" s="6">
        <v>28</v>
      </c>
      <c r="B29" s="6">
        <v>11</v>
      </c>
      <c r="C29" t="inlineStr">
        <is>
          <t xml:space="preserve">dca-grid-short</t>
        </is>
      </c>
      <c r="D29" t="inlineStr">
        <is>
          <t xml:space="preserve">dca-grid</t>
        </is>
      </c>
      <c r="E29" s="6">
        <v>1</v>
      </c>
      <c r="F29" t="inlineStr">
        <is>
          <t xml:space="preserve">REJECTED</t>
        </is>
      </c>
      <c r="G29" t="inlineStr">
        <is>
          <t xml:space="preserve">dev-baseline</t>
        </is>
      </c>
      <c r="H29" t="inlineStr">
        <is>
          <t xml:space="preserve">PF 0.84 &lt; 1.10; Sharpe -0.62 &lt; 0.50; walk-forward: 3 of 4 folds failed</t>
        </is>
      </c>
      <c r="I29" t="inlineStr">
        <is>
          <t xml:space="preserve">defaults</t>
        </is>
      </c>
      <c r="J29" t="inlineStr">
        <is>
          <t xml:space="preserve">orders=5, overlap=0.1, martingale=0.15, takeProfit=0.01</t>
        </is>
      </c>
      <c r="K29" t="inlineStr">
        <is>
          <t xml:space="preserve">orders=5, overlap=0.1, martingale=0.15, takeProfit=0.01</t>
        </is>
      </c>
      <c r="M29" s="7">
        <v>-0.07364522460879053</v>
      </c>
      <c r="N29" s="7">
        <v>-0.025193993630700073</v>
      </c>
      <c r="O29" s="5">
        <v>0.8385774451175053</v>
      </c>
      <c r="P29" s="5">
        <v>-0.6201986777262419</v>
      </c>
      <c r="Q29" s="5">
        <v>-0.7497976275694783</v>
      </c>
      <c r="R29" s="5">
        <v>-0.2824562379234733</v>
      </c>
      <c r="S29" s="7">
        <v>0.08919609570642924</v>
      </c>
      <c r="T29" s="6">
        <v>1695</v>
      </c>
      <c r="U29" s="5">
        <v>565.3869863013699</v>
      </c>
      <c r="V29" s="7">
        <v>0.9722713864306785</v>
      </c>
      <c r="W29" s="8">
        <v>-0.43448510093684334</v>
      </c>
      <c r="X29" s="7">
        <v>0.9355022831050228</v>
      </c>
      <c r="Y29" s="5">
        <v>32.0368003895721</v>
      </c>
      <c r="Z29" s="8">
        <v>365.98973643377235</v>
      </c>
      <c r="AA29" s="8">
        <v>211.02899724099936</v>
      </c>
      <c r="AB29" s="8">
        <v>182.99485227702016</v>
      </c>
      <c r="AC29" s="8">
        <v>9263.547753912095</v>
      </c>
      <c r="AD29" s="7">
        <v>-0.01669260373265502</v>
      </c>
      <c r="AE29" s="7">
        <v>-0.010269978940480318</v>
      </c>
      <c r="AF29" s="7">
        <v>-0.0430472666526912</v>
      </c>
      <c r="AG29" s="7">
        <v>0.005958041489880106</v>
      </c>
      <c r="AH29" s="6">
        <v>1</v>
      </c>
      <c r="AI29" s="7">
        <v>-0.07364522460879053</v>
      </c>
      <c r="AJ29" s="5">
        <v>0.8385774451175053</v>
      </c>
      <c r="AK29" s="5">
        <v>-0.6201986777262419</v>
      </c>
      <c r="AL29" s="7"/>
      <c r="AM29" s="5"/>
      <c r="AN29" s="5"/>
      <c r="AO29" s="7"/>
      <c r="AP29" s="6"/>
      <c r="AQ29" s="7"/>
      <c r="AR29" t="inlineStr">
        <is>
          <t xml:space="preserve">dca-grid-long mirrored: market short, averaging sell limits spread over overlap above it, take-profit below the average, stop 5% above the last order.</t>
        </is>
      </c>
      <c r="AS29" t="inlineStr">
        <is>
          <t xml:space="preserve">artifacts/runs/hunt_cycle_11/dca-grid-short/baseline_dev</t>
        </is>
      </c>
      <c r="AU29" t="inlineStr">
        <is>
          <t xml:space="preserve">artifacts/hunt/cycle_11/report.html</t>
        </is>
      </c>
    </row>
    <row r="30">
      <c r="A30" s="6">
        <v>29</v>
      </c>
      <c r="B30" s="6">
        <v>4</v>
      </c>
      <c r="C30" t="inlineStr">
        <is>
          <t xml:space="preserve">session-momentum</t>
        </is>
      </c>
      <c r="D30" t="inlineStr">
        <is>
          <t xml:space="preserve">time-of-day</t>
        </is>
      </c>
      <c r="E30" s="6">
        <v>1</v>
      </c>
      <c r="F30" t="inlineStr">
        <is>
          <t xml:space="preserve">REJECTED</t>
        </is>
      </c>
      <c r="G30" t="inlineStr">
        <is>
          <t xml:space="preserve">dev-baseline</t>
        </is>
      </c>
      <c r="H30" t="inlineStr">
        <is>
          <t xml:space="preserve">PF 0.71 &lt; 1.10; Sharpe -0.65 &lt; 0.50; 31.7 trades/yr &lt; 50 (95 trades); walk-forward: 4 of 4 folds failed</t>
        </is>
      </c>
      <c r="I30" t="inlineStr">
        <is>
          <t xml:space="preserve">defaults</t>
        </is>
      </c>
      <c r="J30" t="inlineStr">
        <is>
          <t xml:space="preserve">moveMult=1, holdBars=8, atrMult=3</t>
        </is>
      </c>
      <c r="K30" t="inlineStr">
        <is>
          <t xml:space="preserve">moveMult=1, holdBars=8, atrMult=3</t>
        </is>
      </c>
      <c r="M30" s="7">
        <v>-0.08027477640930758</v>
      </c>
      <c r="N30" s="7">
        <v>-0.02752659050345274</v>
      </c>
      <c r="O30" s="5">
        <v>0.7064237101858593</v>
      </c>
      <c r="P30" s="5">
        <v>-0.6503195471437017</v>
      </c>
      <c r="Q30" s="5">
        <v>-0.9855063971821357</v>
      </c>
      <c r="R30" s="5">
        <v>-0.261096350823931</v>
      </c>
      <c r="S30" s="7">
        <v>0.10542694456122505</v>
      </c>
      <c r="T30" s="6">
        <v>95</v>
      </c>
      <c r="U30" s="5">
        <v>31.688356164383563</v>
      </c>
      <c r="V30" s="7">
        <v>0.3789473684210526</v>
      </c>
      <c r="W30" s="8">
        <v>-8.44997646413778</v>
      </c>
      <c r="X30" s="7">
        <v>0.02682648401826484</v>
      </c>
      <c r="Y30" s="5">
        <v>25.33088352516603</v>
      </c>
      <c r="Z30" s="8">
        <v>288.50612477398374</v>
      </c>
      <c r="AA30" s="8">
        <v>3.6761242678332633</v>
      </c>
      <c r="AB30" s="8">
        <v>144.2530474404032</v>
      </c>
      <c r="AC30" s="8">
        <v>9197.252235906924</v>
      </c>
      <c r="AD30" s="7">
        <v>-0.01881993292128281</v>
      </c>
      <c r="AE30" s="7">
        <v>-0.03687288459780724</v>
      </c>
      <c r="AF30" s="7">
        <v>-0.005667781340344513</v>
      </c>
      <c r="AG30" s="7">
        <v>-0.0309092358974683</v>
      </c>
      <c r="AH30" s="6">
        <v>0</v>
      </c>
      <c r="AI30" s="7">
        <v>-0.08027477640930758</v>
      </c>
      <c r="AJ30" s="5">
        <v>0.7064237101858593</v>
      </c>
      <c r="AK30" s="5">
        <v>-0.6503195471437017</v>
      </c>
      <c r="AL30" s="7"/>
      <c r="AM30" s="5"/>
      <c r="AN30" s="5"/>
      <c r="AO30" s="7"/>
      <c r="AP30" s="6"/>
      <c r="AQ30" s="7"/>
      <c r="AR30" t="inlineStr">
        <is>
          <t xml:space="preserve">On the 11:00 UTC bar's close, R = close - that day's 00:00 open, S = ATR(14) x sqrt(12); long if R &gt;= moveMult x S, short if R &lt;= -moveMult x S (fill at the 12:00 open); exit after holdBars bars; stop at signal close -/+ atrMult x ATR.</t>
        </is>
      </c>
      <c r="AS30" t="inlineStr">
        <is>
          <t xml:space="preserve">artifacts/runs/hunt_cycle_4/session-momentum/baseline_dev</t>
        </is>
      </c>
      <c r="AU30" t="inlineStr">
        <is>
          <t xml:space="preserve">artifacts/hunt/cycle_4/report.html</t>
        </is>
      </c>
    </row>
    <row r="31">
      <c r="A31" s="6">
        <v>30</v>
      </c>
      <c r="B31" s="6">
        <v>12</v>
      </c>
      <c r="C31" t="inlineStr">
        <is>
          <t xml:space="preserve">round-number-bounce</t>
        </is>
      </c>
      <c r="D31" t="inlineStr">
        <is>
          <t xml:space="preserve">price-barrier</t>
        </is>
      </c>
      <c r="E31" s="6">
        <v>1</v>
      </c>
      <c r="F31" t="inlineStr">
        <is>
          <t xml:space="preserve">REJECTED</t>
        </is>
      </c>
      <c r="G31" t="inlineStr">
        <is>
          <t xml:space="preserve">dev-baseline</t>
        </is>
      </c>
      <c r="H31" t="inlineStr">
        <is>
          <t xml:space="preserve">PF 0.87 &lt; 1.10; Sharpe -0.65 &lt; 0.50; max DD 43.3% &gt; 30%; walk-forward: 3 of 4 folds failed</t>
        </is>
      </c>
      <c r="I31" t="inlineStr">
        <is>
          <t xml:space="preserve">defaults</t>
        </is>
      </c>
      <c r="J31" t="inlineStr">
        <is>
          <t xml:space="preserve">levelStep=1000, freshBars=24, holdBars=24</t>
        </is>
      </c>
      <c r="K31" t="inlineStr">
        <is>
          <t xml:space="preserve">levelStep=1000, freshBars=24, holdBars=24</t>
        </is>
      </c>
      <c r="M31" s="7">
        <v>-0.3101094233772377</v>
      </c>
      <c r="N31" s="7">
        <v>-0.11646600778469807</v>
      </c>
      <c r="O31" s="5">
        <v>0.8684661160385605</v>
      </c>
      <c r="P31" s="5">
        <v>-0.6546630064064306</v>
      </c>
      <c r="Q31" s="5">
        <v>-1.0464022100361243</v>
      </c>
      <c r="R31" s="5">
        <v>-0.2688116533340192</v>
      </c>
      <c r="S31" s="7">
        <v>0.43326249565520164</v>
      </c>
      <c r="T31" s="6">
        <v>370</v>
      </c>
      <c r="U31" s="5">
        <v>123.41780821917808</v>
      </c>
      <c r="V31" s="7">
        <v>0.32432432432432434</v>
      </c>
      <c r="W31" s="8">
        <v>-8.381335766952427</v>
      </c>
      <c r="X31" s="7">
        <v>0.18420852359208525</v>
      </c>
      <c r="Y31" s="5">
        <v>177.88880011161814</v>
      </c>
      <c r="Z31" s="8">
        <v>1965.5602499029894</v>
      </c>
      <c r="AA31" s="8">
        <v>-129.5213117283163</v>
      </c>
      <c r="AB31" s="8">
        <v>982.7801240221921</v>
      </c>
      <c r="AC31" s="8">
        <v>6898.905766227623</v>
      </c>
      <c r="AD31" s="7">
        <v>-0.11081809613935366</v>
      </c>
      <c r="AE31" s="7">
        <v>-0.07125835149918236</v>
      </c>
      <c r="AF31" s="7">
        <v>-0.1095366554289785</v>
      </c>
      <c r="AG31" s="7">
        <v>0.024563695967337207</v>
      </c>
      <c r="AH31" s="6">
        <v>1</v>
      </c>
      <c r="AI31" s="7">
        <v>-0.3101094233772377</v>
      </c>
      <c r="AJ31" s="5">
        <v>0.8684661160385605</v>
      </c>
      <c r="AK31" s="5">
        <v>-0.6546630064064306</v>
      </c>
      <c r="AL31" s="7"/>
      <c r="AM31" s="5"/>
      <c r="AN31" s="5"/>
      <c r="AO31" s="7"/>
      <c r="AP31" s="6"/>
      <c r="AQ31" s="7"/>
      <c r="AR31" t="inlineStr">
        <is>
          <t xml:space="preserve">Levels = multiples of levelStep USD. Long when a bar opens above the nearest level below it, trades down to it and closes back at or above it, with no bar at or below that level in the previous freshBars hours (first test); short on the mirror at the nearest level above. Skip bars reaching both levels. Exit after holdBars; stop 1 ATR(14) beyond the level.</t>
        </is>
      </c>
      <c r="AS31" t="inlineStr">
        <is>
          <t xml:space="preserve">artifacts/runs/hunt_cycle_12/round-number-bounce/baseline_dev</t>
        </is>
      </c>
      <c r="AU31" t="inlineStr">
        <is>
          <t xml:space="preserve">artifacts/hunt/cycle_12/report.html</t>
        </is>
      </c>
    </row>
    <row r="32">
      <c r="A32" s="6">
        <v>31</v>
      </c>
      <c r="B32" s="6">
        <v>11</v>
      </c>
      <c r="C32" t="inlineStr">
        <is>
          <t xml:space="preserve">dca-trend-long</t>
        </is>
      </c>
      <c r="D32" t="inlineStr">
        <is>
          <t xml:space="preserve">dca-grid</t>
        </is>
      </c>
      <c r="E32" s="6">
        <v>1</v>
      </c>
      <c r="F32" t="inlineStr">
        <is>
          <t xml:space="preserve">REJECTED</t>
        </is>
      </c>
      <c r="G32" t="inlineStr">
        <is>
          <t xml:space="preserve">dev-baseline</t>
        </is>
      </c>
      <c r="H32" t="inlineStr">
        <is>
          <t xml:space="preserve">PF 0.75 &lt; 1.10; Sharpe -0.67 &lt; 0.50; walk-forward: 3 of 4 folds failed</t>
        </is>
      </c>
      <c r="I32" t="inlineStr">
        <is>
          <t xml:space="preserve">defaults</t>
        </is>
      </c>
      <c r="J32" t="inlineStr">
        <is>
          <t xml:space="preserve">maDays=200, overlap=0.1, takeProfit=0.01, orders=5, martingale=0.15</t>
        </is>
      </c>
      <c r="K32" t="inlineStr">
        <is>
          <t xml:space="preserve">maDays=200, overlap=0.1, takeProfit=0.01, orders=5, martingale=0.15</t>
        </is>
      </c>
      <c r="M32" s="7">
        <v>-0.054491350590841654</v>
      </c>
      <c r="N32" s="7">
        <v>-0.01851662823698008</v>
      </c>
      <c r="O32" s="5">
        <v>0.7510551365491305</v>
      </c>
      <c r="P32" s="5">
        <v>-0.6674005015352574</v>
      </c>
      <c r="Q32" s="5">
        <v>-0.7512612658164798</v>
      </c>
      <c r="R32" s="5">
        <v>-0.22427085867276864</v>
      </c>
      <c r="S32" s="7">
        <v>0.08256368369283995</v>
      </c>
      <c r="T32" s="6">
        <v>869</v>
      </c>
      <c r="U32" s="5">
        <v>289.8650684931507</v>
      </c>
      <c r="V32" s="7">
        <v>0.9723820483314154</v>
      </c>
      <c r="W32" s="8">
        <v>-0.6270581195724139</v>
      </c>
      <c r="X32" s="7">
        <v>0.4893455098934551</v>
      </c>
      <c r="Y32" s="5">
        <v>15.20986298657164</v>
      </c>
      <c r="Z32" s="8">
        <v>171.0059794065125</v>
      </c>
      <c r="AA32" s="8">
        <v>-155.49610486147515</v>
      </c>
      <c r="AB32" s="8">
        <v>85.5029843869186</v>
      </c>
      <c r="AC32" s="8">
        <v>9455.086494091584</v>
      </c>
      <c r="AD32" s="7">
        <v>0</v>
      </c>
      <c r="AE32" s="7">
        <v>0</v>
      </c>
      <c r="AF32" s="7">
        <v>0.00979652117873675</v>
      </c>
      <c r="AG32" s="7">
        <v>-0.00823573612636086</v>
      </c>
      <c r="AH32" s="6">
        <v>1</v>
      </c>
      <c r="AI32" s="7">
        <v>-0.054491350590841654</v>
      </c>
      <c r="AJ32" s="5">
        <v>0.7510551365491305</v>
      </c>
      <c r="AK32" s="5">
        <v>-0.6674005015352574</v>
      </c>
      <c r="AL32" s="7"/>
      <c r="AM32" s="5"/>
      <c r="AN32" s="5"/>
      <c r="AO32" s="7"/>
      <c r="AP32" s="6"/>
      <c r="AQ32" s="7"/>
      <c r="AR32" t="inlineStr">
        <is>
          <t xml:space="preserve">dca-grid-long (5 orders, martingale 15%) that starts a deal only while the last daily close is above the SMA of the last maDays daily closes.</t>
        </is>
      </c>
      <c r="AS32" t="inlineStr">
        <is>
          <t xml:space="preserve">artifacts/runs/hunt_cycle_11/dca-trend-long/baseline_dev</t>
        </is>
      </c>
      <c r="AU32" t="inlineStr">
        <is>
          <t xml:space="preserve">artifacts/hunt/cycle_11/report.html</t>
        </is>
      </c>
    </row>
    <row r="33">
      <c r="A33" s="6">
        <v>32</v>
      </c>
      <c r="B33" s="6">
        <v>6</v>
      </c>
      <c r="C33" t="inlineStr">
        <is>
          <t xml:space="preserve">efficiency-regime-switch</t>
        </is>
      </c>
      <c r="D33" t="inlineStr">
        <is>
          <t xml:space="preserve">efficiency-regime</t>
        </is>
      </c>
      <c r="E33" s="6">
        <v>1</v>
      </c>
      <c r="F33" t="inlineStr">
        <is>
          <t xml:space="preserve">REJECTED</t>
        </is>
      </c>
      <c r="G33" t="inlineStr">
        <is>
          <t xml:space="preserve">dev-baseline</t>
        </is>
      </c>
      <c r="H33" t="inlineStr">
        <is>
          <t xml:space="preserve">PF 0.87 &lt; 1.10; Sharpe -0.72 &lt; 0.50; max DD 43.9% &gt; 30%; walk-forward: 2 of 4 folds failed</t>
        </is>
      </c>
      <c r="I33" t="inlineStr">
        <is>
          <t xml:space="preserve">defaults</t>
        </is>
      </c>
      <c r="J33" t="inlineStr">
        <is>
          <t xml:space="preserve">erLen=168, erThreshold=0.2, atrMult=2.5</t>
        </is>
      </c>
      <c r="K33" t="inlineStr">
        <is>
          <t xml:space="preserve">erLen=168, erThreshold=0.2, atrMult=2.5</t>
        </is>
      </c>
      <c r="M33" s="7">
        <v>-0.3459150612874242</v>
      </c>
      <c r="N33" s="7">
        <v>-0.1320341791648858</v>
      </c>
      <c r="O33" s="5">
        <v>0.8683895149157753</v>
      </c>
      <c r="P33" s="5">
        <v>-0.7169019373139711</v>
      </c>
      <c r="Q33" s="5">
        <v>-1.091063419007396</v>
      </c>
      <c r="R33" s="5">
        <v>-0.3010524037802427</v>
      </c>
      <c r="S33" s="7">
        <v>0.43857540251120514</v>
      </c>
      <c r="T33" s="6">
        <v>636</v>
      </c>
      <c r="U33" s="5">
        <v>212.14520547945207</v>
      </c>
      <c r="V33" s="7">
        <v>0.46540880503144655</v>
      </c>
      <c r="W33" s="8">
        <v>-5.438916057978349</v>
      </c>
      <c r="X33" s="7">
        <v>0.37168949771689497</v>
      </c>
      <c r="Y33" s="5">
        <v>219.97299723843267</v>
      </c>
      <c r="Z33" s="8">
        <v>2030.6333142895096</v>
      </c>
      <c r="AA33" s="8">
        <v>-220.4736952287444</v>
      </c>
      <c r="AB33" s="8">
        <v>1015.3166494356763</v>
      </c>
      <c r="AC33" s="8">
        <v>6540.849387125758</v>
      </c>
      <c r="AD33" s="7">
        <v>-0.12227742180737167</v>
      </c>
      <c r="AE33" s="7">
        <v>0.006219967833866358</v>
      </c>
      <c r="AF33" s="7">
        <v>0.2173011531097515</v>
      </c>
      <c r="AG33" s="7">
        <v>-0.05346876613854801</v>
      </c>
      <c r="AH33" s="6">
        <v>2</v>
      </c>
      <c r="AI33" s="7">
        <v>-0.3459150612874242</v>
      </c>
      <c r="AJ33" s="5">
        <v>0.8683895149157753</v>
      </c>
      <c r="AK33" s="5">
        <v>-0.7169019373139711</v>
      </c>
      <c r="AL33" s="7"/>
      <c r="AM33" s="5"/>
      <c r="AN33" s="5"/>
      <c r="AO33" s="7"/>
      <c r="AP33" s="6"/>
      <c r="AQ33" s="7"/>
      <c r="AR33" t="inlineStr">
        <is>
          <t xml:space="preserve">ER = |net change| / sum |changes| over erLen hourly closes. ER &gt;= erThreshold: long on a close above the previous 48-bar high (short below the low), exit on the opposite 24-bar channel. ER below it: fade a close outside SMA(48) +/- 2 sd, exit at the SMA or after 48 bars. Stop atrMult x ATR(14) from the signal close; a trade keeps its own rules if the regime flips.</t>
        </is>
      </c>
      <c r="AS33" t="inlineStr">
        <is>
          <t xml:space="preserve">artifacts/runs/hunt_cycle_6/efficiency-regime-switch/baseline_dev</t>
        </is>
      </c>
      <c r="AU33" t="inlineStr">
        <is>
          <t xml:space="preserve">artifacts/hunt/cycle_6/report.html</t>
        </is>
      </c>
    </row>
    <row r="34">
      <c r="A34" s="6">
        <v>33</v>
      </c>
      <c r="B34" s="6">
        <v>5</v>
      </c>
      <c r="C34" t="inlineStr">
        <is>
          <t xml:space="preserve">noise-area-momentum</t>
        </is>
      </c>
      <c r="D34" t="inlineStr">
        <is>
          <t xml:space="preserve">intraday-momentum</t>
        </is>
      </c>
      <c r="E34" s="6">
        <v>1</v>
      </c>
      <c r="F34" t="inlineStr">
        <is>
          <t xml:space="preserve">REJECTED</t>
        </is>
      </c>
      <c r="G34" t="inlineStr">
        <is>
          <t xml:space="preserve">dev-baseline</t>
        </is>
      </c>
      <c r="H34" t="inlineStr">
        <is>
          <t xml:space="preserve">PF 0.85 &lt; 1.10; Sharpe -0.78 &lt; 0.50; max DD 41.4% &gt; 30%; walk-forward: 3 of 4 folds failed</t>
        </is>
      </c>
      <c r="I34" t="inlineStr">
        <is>
          <t xml:space="preserve">defaults</t>
        </is>
      </c>
      <c r="J34" t="inlineStr">
        <is>
          <t xml:space="preserve">lookbackDays=14, bandMult=1, firstHour=2</t>
        </is>
      </c>
      <c r="K34" t="inlineStr">
        <is>
          <t xml:space="preserve">lookbackDays=14, bandMult=1, firstHour=2</t>
        </is>
      </c>
      <c r="M34" s="7">
        <v>-0.3384973808260872</v>
      </c>
      <c r="N34" s="7">
        <v>-0.12876319273851333</v>
      </c>
      <c r="O34" s="5">
        <v>0.8549224268756979</v>
      </c>
      <c r="P34" s="5">
        <v>-0.782156116881821</v>
      </c>
      <c r="Q34" s="5">
        <v>-1.83060156834118</v>
      </c>
      <c r="R34" s="5">
        <v>-0.31091188666421465</v>
      </c>
      <c r="S34" s="7">
        <v>0.4141468958296142</v>
      </c>
      <c r="T34" s="6">
        <v>890</v>
      </c>
      <c r="U34" s="5">
        <v>296.86986301369865</v>
      </c>
      <c r="V34" s="7">
        <v>0.22471910112359553</v>
      </c>
      <c r="W34" s="8">
        <v>-3.8033413575964525</v>
      </c>
      <c r="X34" s="7">
        <v>0.15920852359208523</v>
      </c>
      <c r="Y34" s="5">
        <v>413.3601879313697</v>
      </c>
      <c r="Z34" s="8">
        <v>4433.648568544055</v>
      </c>
      <c r="AA34" s="8">
        <v>14.315964823068603</v>
      </c>
      <c r="AB34" s="8">
        <v>2216.82441431936</v>
      </c>
      <c r="AC34" s="8">
        <v>6615.026191739127</v>
      </c>
      <c r="AD34" s="7">
        <v>0.025603166316091164</v>
      </c>
      <c r="AE34" s="7">
        <v>-0.15240193102348554</v>
      </c>
      <c r="AF34" s="7">
        <v>-0.01207965676570344</v>
      </c>
      <c r="AG34" s="7">
        <v>-0.15810910617094065</v>
      </c>
      <c r="AH34" s="6">
        <v>1</v>
      </c>
      <c r="AI34" s="7">
        <v>-0.3384973808260872</v>
      </c>
      <c r="AJ34" s="5">
        <v>0.8549224268756979</v>
      </c>
      <c r="AK34" s="5">
        <v>-0.782156116881821</v>
      </c>
      <c r="AL34" s="7"/>
      <c r="AM34" s="5"/>
      <c r="AN34" s="5"/>
      <c r="AO34" s="7"/>
      <c r="AP34" s="6"/>
      <c r="AQ34" s="7"/>
      <c r="AR34" t="inlineStr">
        <is>
          <t xml:space="preserve">UTC-day session. sigma_h = mean |close/day open - 1| at hour h over the previous lookbackDays days; bands = open x (1 +/- bandMult x sigma_h). From firstHour to 22:00, long when the close moves above the upper band (short: below the lower), at most once per UTC day; exit when the close falls back below max(upper band, day VWAP) (short: above min(lower, VWAP)) or at the 23:00 close; stop at the day open.</t>
        </is>
      </c>
      <c r="AS34" t="inlineStr">
        <is>
          <t xml:space="preserve">artifacts/runs/hunt_cycle_5/noise-area-momentum/baseline_dev</t>
        </is>
      </c>
      <c r="AU34" t="inlineStr">
        <is>
          <t xml:space="preserve">artifacts/hunt/cycle_5/report.html</t>
        </is>
      </c>
    </row>
    <row r="35">
      <c r="A35" s="6">
        <v>34</v>
      </c>
      <c r="B35" s="6">
        <v>3</v>
      </c>
      <c r="C35" t="inlineStr">
        <is>
          <t xml:space="preserve">trend-pullback-rsi</t>
        </is>
      </c>
      <c r="D35" t="inlineStr">
        <is>
          <t xml:space="preserve">regime-filter</t>
        </is>
      </c>
      <c r="E35" s="6">
        <v>1</v>
      </c>
      <c r="F35" t="inlineStr">
        <is>
          <t xml:space="preserve">REJECTED</t>
        </is>
      </c>
      <c r="G35" t="inlineStr">
        <is>
          <t xml:space="preserve">dev-baseline</t>
        </is>
      </c>
      <c r="H35" t="inlineStr">
        <is>
          <t xml:space="preserve">PF 0.84 &lt; 1.10; Sharpe -0.80 &lt; 0.50; walk-forward: 2 of 4 folds failed</t>
        </is>
      </c>
      <c r="I35" t="inlineStr">
        <is>
          <t xml:space="preserve">defaults</t>
        </is>
      </c>
      <c r="J35" t="inlineStr">
        <is>
          <t xml:space="preserve">trendLen=200, rsiLen=4, level=20, atrMult=3</t>
        </is>
      </c>
      <c r="K35" t="inlineStr">
        <is>
          <t xml:space="preserve">trendLen=200, rsiLen=4, level=20, atrMult=3</t>
        </is>
      </c>
      <c r="M35" s="7">
        <v>-0.16018719394502903</v>
      </c>
      <c r="N35" s="7">
        <v>-0.056568901973217844</v>
      </c>
      <c r="O35" s="5">
        <v>0.838958986840662</v>
      </c>
      <c r="P35" s="5">
        <v>-0.7976558302359803</v>
      </c>
      <c r="Q35" s="5">
        <v>-0.9822588016541388</v>
      </c>
      <c r="R35" s="5">
        <v>-0.335524166050094</v>
      </c>
      <c r="S35" s="7">
        <v>0.16859859198568747</v>
      </c>
      <c r="T35" s="6">
        <v>485</v>
      </c>
      <c r="U35" s="5">
        <v>161.77739726027397</v>
      </c>
      <c r="V35" s="7">
        <v>0.6371134020618556</v>
      </c>
      <c r="W35" s="8">
        <v>-3.3028287411346433</v>
      </c>
      <c r="X35" s="7">
        <v>0.1101978691019787</v>
      </c>
      <c r="Y35" s="5">
        <v>145.5978911930619</v>
      </c>
      <c r="Z35" s="8">
        <v>1587.675665326952</v>
      </c>
      <c r="AA35" s="8">
        <v>-121.57158742419062</v>
      </c>
      <c r="AB35" s="8">
        <v>793.8378687120022</v>
      </c>
      <c r="AC35" s="8">
        <v>8398.12806054971</v>
      </c>
      <c r="AD35" s="7">
        <v>0.026776507320394716</v>
      </c>
      <c r="AE35" s="7">
        <v>-0.03037647800407761</v>
      </c>
      <c r="AF35" s="7">
        <v>0.07038580855536347</v>
      </c>
      <c r="AG35" s="7">
        <v>-0.03519212329530852</v>
      </c>
      <c r="AH35" s="6">
        <v>2</v>
      </c>
      <c r="AI35" s="7">
        <v>-0.16018719394502903</v>
      </c>
      <c r="AJ35" s="5">
        <v>0.838958986840662</v>
      </c>
      <c r="AK35" s="5">
        <v>-0.7976558302359803</v>
      </c>
      <c r="AL35" s="7"/>
      <c r="AM35" s="5"/>
      <c r="AN35" s="5"/>
      <c r="AO35" s="7"/>
      <c r="AP35" s="6"/>
      <c r="AQ35" s="7"/>
      <c r="AR35" t="inlineStr">
        <is>
          <t xml:space="preserve">Long when close &gt; EMA(trendLen) and RSI(rsiLen) &lt; level; short when close &lt; EMA(trendLen) and RSI &gt; 100 - level; exit long when RSI &gt; 55 (short: RSI &lt; 45) or after 48 bars; stop at entry-bar close -/+ ATR(14) x atrMult.</t>
        </is>
      </c>
      <c r="AS35" t="inlineStr">
        <is>
          <t xml:space="preserve">artifacts/runs/hunt_cycle_3/trend-pullback-rsi/baseline_dev</t>
        </is>
      </c>
      <c r="AU35" t="inlineStr">
        <is>
          <t xml:space="preserve">artifacts/hunt/cycle_3/report.html</t>
        </is>
      </c>
    </row>
    <row r="36">
      <c r="A36" s="6">
        <v>35</v>
      </c>
      <c r="B36" s="6">
        <v>11</v>
      </c>
      <c r="C36" t="inlineStr">
        <is>
          <t xml:space="preserve">dca-grid-long</t>
        </is>
      </c>
      <c r="D36" t="inlineStr">
        <is>
          <t xml:space="preserve">dca-grid</t>
        </is>
      </c>
      <c r="E36" s="6">
        <v>1</v>
      </c>
      <c r="F36" t="inlineStr">
        <is>
          <t xml:space="preserve">REJECTED</t>
        </is>
      </c>
      <c r="G36" t="inlineStr">
        <is>
          <t xml:space="preserve">dev-baseline</t>
        </is>
      </c>
      <c r="H36" t="inlineStr">
        <is>
          <t xml:space="preserve">PF 0.77 &lt; 1.10; Sharpe -0.83 &lt; 0.50; walk-forward: 3 of 4 folds failed</t>
        </is>
      </c>
      <c r="I36" t="inlineStr">
        <is>
          <t xml:space="preserve">defaults</t>
        </is>
      </c>
      <c r="J36" t="inlineStr">
        <is>
          <t xml:space="preserve">orders=5, overlap=0.1, martingale=0.15, takeProfit=0.01</t>
        </is>
      </c>
      <c r="K36" t="inlineStr">
        <is>
          <t xml:space="preserve">orders=5, overlap=0.1, martingale=0.15, takeProfit=0.01</t>
        </is>
      </c>
      <c r="M36" s="7">
        <v>-0.08919023526738146</v>
      </c>
      <c r="N36" s="7">
        <v>-0.030681214295622983</v>
      </c>
      <c r="O36" s="5">
        <v>0.7740943438470943</v>
      </c>
      <c r="P36" s="5">
        <v>-0.828637340021285</v>
      </c>
      <c r="Q36" s="5">
        <v>-0.9663937858145139</v>
      </c>
      <c r="R36" s="5">
        <v>-0.23343270998078827</v>
      </c>
      <c r="S36" s="7">
        <v>0.13143494027956953</v>
      </c>
      <c r="T36" s="6">
        <v>1639</v>
      </c>
      <c r="U36" s="5">
        <v>546.7075342465754</v>
      </c>
      <c r="V36" s="7">
        <v>0.9737644905430141</v>
      </c>
      <c r="W36" s="8">
        <v>-0.5441747118204963</v>
      </c>
      <c r="X36" s="7">
        <v>0.9376331811263319</v>
      </c>
      <c r="Y36" s="5">
        <v>28.36267344586107</v>
      </c>
      <c r="Z36" s="8">
        <v>311.8611121529417</v>
      </c>
      <c r="AA36" s="8">
        <v>-180.9862875443199</v>
      </c>
      <c r="AB36" s="8">
        <v>155.9305463514951</v>
      </c>
      <c r="AC36" s="8">
        <v>9108.097647326185</v>
      </c>
      <c r="AD36" s="7">
        <v>-0.013402034798560614</v>
      </c>
      <c r="AE36" s="7">
        <v>-0.005398425365076065</v>
      </c>
      <c r="AF36" s="7">
        <v>0.011876762223292925</v>
      </c>
      <c r="AG36" s="7">
        <v>-0.006128626991824371</v>
      </c>
      <c r="AH36" s="6">
        <v>1</v>
      </c>
      <c r="AI36" s="7">
        <v>-0.08919023526738146</v>
      </c>
      <c r="AJ36" s="5">
        <v>0.7740943438470943</v>
      </c>
      <c r="AK36" s="5">
        <v>-0.828637340021285</v>
      </c>
      <c r="AL36" s="7"/>
      <c r="AM36" s="5"/>
      <c r="AN36" s="5"/>
      <c r="AO36" s="7"/>
      <c r="AP36" s="6"/>
      <c r="AQ36" s="7"/>
      <c r="AR36" t="inlineStr">
        <is>
          <t xml:space="preserve">Veles DCA bot, long, no entry filter: market base order, then orders - 1 averaging limits spread evenly over overlap below it, each (1 + martingale) times the previous notional; take-profit limit takeProfit above the running average entry; stop 5% below the last order; the next deal starts at the next open.</t>
        </is>
      </c>
      <c r="AS36" t="inlineStr">
        <is>
          <t xml:space="preserve">artifacts/runs/hunt_cycle_11/dca-grid-long/baseline_dev</t>
        </is>
      </c>
      <c r="AU36" t="inlineStr">
        <is>
          <t xml:space="preserve">artifacts/hunt/cycle_11/report.html</t>
        </is>
      </c>
    </row>
    <row r="37">
      <c r="A37" s="6">
        <v>36</v>
      </c>
      <c r="B37" s="6">
        <v>7</v>
      </c>
      <c r="C37" t="inlineStr">
        <is>
          <t xml:space="preserve">ema-cross-control</t>
        </is>
      </c>
      <c r="D37" t="inlineStr">
        <is>
          <t xml:space="preserve">control</t>
        </is>
      </c>
      <c r="E37" s="6">
        <v>1</v>
      </c>
      <c r="F37" t="inlineStr">
        <is>
          <t xml:space="preserve">REJECTED</t>
        </is>
      </c>
      <c r="G37" t="inlineStr">
        <is>
          <t xml:space="preserve">dev-baseline</t>
        </is>
      </c>
      <c r="H37" t="inlineStr">
        <is>
          <t xml:space="preserve">PF 0.75 &lt; 1.10; Sharpe -0.94 &lt; 0.50; walk-forward: 3 of 4 folds failed</t>
        </is>
      </c>
      <c r="I37" t="inlineStr">
        <is>
          <t xml:space="preserve">defaults</t>
        </is>
      </c>
      <c r="J37" t="inlineStr">
        <is>
          <t xml:space="preserve">holdBars=96, stopMult=1.5</t>
        </is>
      </c>
      <c r="K37" t="inlineStr">
        <is>
          <t xml:space="preserve">holdBars=96, stopMult=1.5</t>
        </is>
      </c>
      <c r="M37" s="7">
        <v>-0.19111618832089017</v>
      </c>
      <c r="N37" s="7">
        <v>-0.06830374303743125</v>
      </c>
      <c r="O37" s="5">
        <v>0.7480319884325483</v>
      </c>
      <c r="P37" s="5">
        <v>-0.9444410729141941</v>
      </c>
      <c r="Q37" s="5">
        <v>-1.3398985507661547</v>
      </c>
      <c r="R37" s="5">
        <v>-0.3295100007875245</v>
      </c>
      <c r="S37" s="7">
        <v>0.20728883152009414</v>
      </c>
      <c r="T37" s="6">
        <v>258</v>
      </c>
      <c r="U37" s="5">
        <v>86.05890410958905</v>
      </c>
      <c r="V37" s="7">
        <v>0.4728682170542636</v>
      </c>
      <c r="W37" s="8">
        <v>-7.407604198484074</v>
      </c>
      <c r="X37" s="7">
        <v>0.8342846270928463</v>
      </c>
      <c r="Y37" s="5">
        <v>25.623983528889557</v>
      </c>
      <c r="Z37" s="8">
        <v>273.9491961966038</v>
      </c>
      <c r="AA37" s="8">
        <v>155.21902291294793</v>
      </c>
      <c r="AB37" s="8">
        <v>136.97453188001495</v>
      </c>
      <c r="AC37" s="8">
        <v>8088.838116791098</v>
      </c>
      <c r="AD37" s="7">
        <v>-0.02654387731003005</v>
      </c>
      <c r="AE37" s="7">
        <v>0.014598083994678879</v>
      </c>
      <c r="AF37" s="7">
        <v>-0.037181941717886136</v>
      </c>
      <c r="AG37" s="7">
        <v>-0.021945285788941282</v>
      </c>
      <c r="AH37" s="6">
        <v>1</v>
      </c>
      <c r="AI37" s="7">
        <v>-0.19111618832089017</v>
      </c>
      <c r="AJ37" s="5">
        <v>0.7480319884325483</v>
      </c>
      <c r="AK37" s="5">
        <v>-0.9444410729141941</v>
      </c>
      <c r="AL37" s="7"/>
      <c r="AM37" s="5"/>
      <c r="AN37" s="5"/>
      <c r="AO37" s="7"/>
      <c r="AP37" s="6"/>
      <c r="AQ37" s="7"/>
      <c r="AR37" t="inlineStr">
        <is>
          <t xml:space="preserve">Ablation control for funding-tilt, funding ignored: long when the close crosses above EMA(24), short when it crosses below; exit after holdBars; stop stopMult x dATR.</t>
        </is>
      </c>
      <c r="AS37" t="inlineStr">
        <is>
          <t xml:space="preserve">artifacts/runs/hunt_cycle_7/ema-cross-control/baseline_dev</t>
        </is>
      </c>
      <c r="AU37" t="inlineStr">
        <is>
          <t xml:space="preserve">artifacts/hunt/cycle_7/report.html</t>
        </is>
      </c>
    </row>
    <row r="38">
      <c r="A38" s="6">
        <v>37</v>
      </c>
      <c r="B38" s="6">
        <v>3</v>
      </c>
      <c r="C38" t="inlineStr">
        <is>
          <t xml:space="preserve">bollinger-reversion</t>
        </is>
      </c>
      <c r="D38" t="inlineStr">
        <is>
          <t xml:space="preserve">mean-reversion</t>
        </is>
      </c>
      <c r="E38" s="6">
        <v>1</v>
      </c>
      <c r="F38" t="inlineStr">
        <is>
          <t xml:space="preserve">REJECTED</t>
        </is>
      </c>
      <c r="G38" t="inlineStr">
        <is>
          <t xml:space="preserve">dev-baseline</t>
        </is>
      </c>
      <c r="H38" t="inlineStr">
        <is>
          <t xml:space="preserve">PF 0.85 &lt; 1.10; Sharpe -1.09 &lt; 0.50; max DD 38.0% &gt; 30%; walk-forward: 2 of 4 folds failed</t>
        </is>
      </c>
      <c r="I38" t="inlineStr">
        <is>
          <t xml:space="preserve">defaults</t>
        </is>
      </c>
      <c r="J38" t="inlineStr">
        <is>
          <t xml:space="preserve">bbLen=40, bbMult=2, atrMult=3</t>
        </is>
      </c>
      <c r="K38" t="inlineStr">
        <is>
          <t xml:space="preserve">bbLen=40, bbMult=2, atrMult=3</t>
        </is>
      </c>
      <c r="M38" s="7">
        <v>-0.3562386293586483</v>
      </c>
      <c r="N38" s="7">
        <v>-0.13662798489808792</v>
      </c>
      <c r="O38" s="5">
        <v>0.8489555348533457</v>
      </c>
      <c r="P38" s="5">
        <v>-1.094882390432204</v>
      </c>
      <c r="Q38" s="5">
        <v>-1.4436972794819547</v>
      </c>
      <c r="R38" s="5">
        <v>-0.3593258870220012</v>
      </c>
      <c r="S38" s="7">
        <v>0.38023418248661367</v>
      </c>
      <c r="T38" s="6">
        <v>691</v>
      </c>
      <c r="U38" s="5">
        <v>230.49109589041097</v>
      </c>
      <c r="V38" s="7">
        <v>0.5658465991316932</v>
      </c>
      <c r="W38" s="8">
        <v>-5.15540708189066</v>
      </c>
      <c r="X38" s="7">
        <v>0.366248097412481</v>
      </c>
      <c r="Y38" s="5">
        <v>207.21156557507044</v>
      </c>
      <c r="Z38" s="8">
        <v>2044.0877877533553</v>
      </c>
      <c r="AA38" s="8">
        <v>-43.9242007656864</v>
      </c>
      <c r="AB38" s="8">
        <v>1022.0438757834587</v>
      </c>
      <c r="AC38" s="8">
        <v>6437.613706413517</v>
      </c>
      <c r="AD38" s="7">
        <v>-0.042102018136392694</v>
      </c>
      <c r="AE38" s="7">
        <v>0.10407294407618473</v>
      </c>
      <c r="AF38" s="7">
        <v>0.004550501891631642</v>
      </c>
      <c r="AG38" s="7">
        <v>-0.012683947226209025</v>
      </c>
      <c r="AH38" s="6">
        <v>2</v>
      </c>
      <c r="AI38" s="7">
        <v>-0.3562386293586483</v>
      </c>
      <c r="AJ38" s="5">
        <v>0.8489555348533457</v>
      </c>
      <c r="AK38" s="5">
        <v>-1.094882390432204</v>
      </c>
      <c r="AL38" s="7"/>
      <c r="AM38" s="5"/>
      <c r="AN38" s="5"/>
      <c r="AO38" s="7"/>
      <c r="AP38" s="6"/>
      <c r="AQ38" s="7"/>
      <c r="AR38" t="inlineStr">
        <is>
          <t xml:space="preserve">Long when close &lt; SMA(bbLen) - bbMult x stdev(bbLen), short when close &gt; SMA + bbMult x stdev; exit when close returns to the SMA or after 48 bars; stop at entry-bar close -/+ ATR(14) x atrMult.</t>
        </is>
      </c>
      <c r="AS38" t="inlineStr">
        <is>
          <t xml:space="preserve">artifacts/runs/hunt_cycle_3/bollinger-reversion/baseline_dev</t>
        </is>
      </c>
      <c r="AU38" t="inlineStr">
        <is>
          <t xml:space="preserve">artifacts/hunt/cycle_3/report.html</t>
        </is>
      </c>
    </row>
    <row r="39">
      <c r="A39" s="6">
        <v>38</v>
      </c>
      <c r="B39" s="6">
        <v>12</v>
      </c>
      <c r="C39" t="inlineStr">
        <is>
          <t xml:space="preserve">cascade-fade</t>
        </is>
      </c>
      <c r="D39" t="inlineStr">
        <is>
          <t xml:space="preserve">liquidation-cascade</t>
        </is>
      </c>
      <c r="E39" s="6">
        <v>1</v>
      </c>
      <c r="F39" t="inlineStr">
        <is>
          <t xml:space="preserve">REJECTED</t>
        </is>
      </c>
      <c r="G39" t="inlineStr">
        <is>
          <t xml:space="preserve">dev-baseline</t>
        </is>
      </c>
      <c r="H39" t="inlineStr">
        <is>
          <t xml:space="preserve">PF 0.75 &lt; 1.10; Sharpe -1.45 &lt; 0.50; max DD 49.5% &gt; 30%; walk-forward: 4 of 4 folds failed</t>
        </is>
      </c>
      <c r="I39" t="inlineStr">
        <is>
          <t xml:space="preserve">defaults</t>
        </is>
      </c>
      <c r="J39" t="inlineStr">
        <is>
          <t xml:space="preserve">dropAtr=1.5, volMult=1.5, holdBars=24</t>
        </is>
      </c>
      <c r="K39" t="inlineStr">
        <is>
          <t xml:space="preserve">dropAtr=1.5, volMult=1.5, holdBars=24</t>
        </is>
      </c>
      <c r="M39" s="7">
        <v>-0.4658571413558791</v>
      </c>
      <c r="N39" s="7">
        <v>-0.18874579024858684</v>
      </c>
      <c r="O39" s="5">
        <v>0.7477072740212616</v>
      </c>
      <c r="P39" s="5">
        <v>-1.4503847026811252</v>
      </c>
      <c r="Q39" s="5">
        <v>-2.1418967816723815</v>
      </c>
      <c r="R39" s="5">
        <v>-0.381111353483368</v>
      </c>
      <c r="S39" s="7">
        <v>0.4952510297146627</v>
      </c>
      <c r="T39" s="6">
        <v>395</v>
      </c>
      <c r="U39" s="5">
        <v>131.7568493150685</v>
      </c>
      <c r="V39" s="7">
        <v>0.34177215189873417</v>
      </c>
      <c r="W39" s="8">
        <v>-11.793851679895631</v>
      </c>
      <c r="X39" s="7">
        <v>0.1015220700152207</v>
      </c>
      <c r="Y39" s="5">
        <v>201.515624410251</v>
      </c>
      <c r="Z39" s="8">
        <v>1864.2668079451798</v>
      </c>
      <c r="AA39" s="8">
        <v>-135.07235600340601</v>
      </c>
      <c r="AB39" s="8">
        <v>932.1333348886343</v>
      </c>
      <c r="AC39" s="8">
        <v>5341.4285864412095</v>
      </c>
      <c r="AD39" s="7">
        <v>-0.15649522846901076</v>
      </c>
      <c r="AE39" s="7">
        <v>-0.005444819072524143</v>
      </c>
      <c r="AF39" s="7">
        <v>-0.14336427054544731</v>
      </c>
      <c r="AG39" s="7">
        <v>-0.013269973764640786</v>
      </c>
      <c r="AH39" s="6">
        <v>0</v>
      </c>
      <c r="AI39" s="7">
        <v>-0.4658571413558791</v>
      </c>
      <c r="AJ39" s="5">
        <v>0.7477072740212616</v>
      </c>
      <c r="AK39" s="5">
        <v>-1.4503847026811252</v>
      </c>
      <c r="AL39" s="7"/>
      <c r="AM39" s="5"/>
      <c r="AN39" s="5"/>
      <c r="AO39" s="7"/>
      <c r="AP39" s="6"/>
      <c r="AQ39" s="7"/>
      <c r="AR39" t="inlineStr">
        <is>
          <t xml:space="preserve">Fade a liquidation cascade: long when an hourly bar's close - open &lt;= -dropAtr x ATR(14) on volume &gt;= volMult x the previous 48 bars' mean while the 3-day funding crowding rank &gt;= 0.5 (longs crowded); short on the mirror with rank &lt;= 0.5. Exit after holdBars or on a close back beyond the cascade bar's open; stop 1 ATR beyond the cascade bar's extreme.</t>
        </is>
      </c>
      <c r="AS39" t="inlineStr">
        <is>
          <t xml:space="preserve">artifacts/runs/hunt_cycle_12/cascade-fade/baseline_dev</t>
        </is>
      </c>
      <c r="AU39" t="inlineStr">
        <is>
          <t xml:space="preserve">artifacts/hunt/cycle_12/report.html</t>
        </is>
      </c>
    </row>
    <row r="40">
      <c r="A40" s="6">
        <v>39</v>
      </c>
      <c r="B40" s="6">
        <v>4</v>
      </c>
      <c r="C40" t="inlineStr">
        <is>
          <t xml:space="preserve">volume-climax-reversal</t>
        </is>
      </c>
      <c r="D40" t="inlineStr">
        <is>
          <t xml:space="preserve">volume</t>
        </is>
      </c>
      <c r="E40" s="6">
        <v>1</v>
      </c>
      <c r="F40" t="inlineStr">
        <is>
          <t xml:space="preserve">REJECTED</t>
        </is>
      </c>
      <c r="G40" t="inlineStr">
        <is>
          <t xml:space="preserve">dev-baseline</t>
        </is>
      </c>
      <c r="H40" t="inlineStr">
        <is>
          <t xml:space="preserve">PF 0.68 &lt; 1.10; Sharpe -1.52 &lt; 0.50; max DD 46.9% &gt; 30%; walk-forward: 3 of 4 folds failed</t>
        </is>
      </c>
      <c r="I40" t="inlineStr">
        <is>
          <t xml:space="preserve">defaults</t>
        </is>
      </c>
      <c r="J40" t="inlineStr">
        <is>
          <t xml:space="preserve">volMult=2, rangeAtr=1.5, maxHold=12</t>
        </is>
      </c>
      <c r="K40" t="inlineStr">
        <is>
          <t xml:space="preserve">volMult=2, rangeAtr=1.5, maxHold=12</t>
        </is>
      </c>
      <c r="M40" s="7">
        <v>-0.43016479429728594</v>
      </c>
      <c r="N40" s="7">
        <v>-0.17105192478532197</v>
      </c>
      <c r="O40" s="5">
        <v>0.6839066090487897</v>
      </c>
      <c r="P40" s="5">
        <v>-1.520046606784165</v>
      </c>
      <c r="Q40" s="5">
        <v>-2.1917705561803524</v>
      </c>
      <c r="R40" s="5">
        <v>-0.36491742352895556</v>
      </c>
      <c r="S40" s="7">
        <v>0.4687414569881431</v>
      </c>
      <c r="T40" s="6">
        <v>388</v>
      </c>
      <c r="U40" s="5">
        <v>129.42191780821918</v>
      </c>
      <c r="V40" s="7">
        <v>0.38917525773195877</v>
      </c>
      <c r="W40" s="8">
        <v>-11.086721502507347</v>
      </c>
      <c r="X40" s="7">
        <v>0.12016742770167427</v>
      </c>
      <c r="Y40" s="5">
        <v>166.562873239309</v>
      </c>
      <c r="Z40" s="8">
        <v>1438.4227874819735</v>
      </c>
      <c r="AA40" s="8">
        <v>-47.514744032626176</v>
      </c>
      <c r="AB40" s="8">
        <v>719.2113098810225</v>
      </c>
      <c r="AC40" s="8">
        <v>5698.35205702714</v>
      </c>
      <c r="AD40" s="7">
        <v>-0.11082539935069778</v>
      </c>
      <c r="AE40" s="7">
        <v>-0.0642736999156206</v>
      </c>
      <c r="AF40" s="7">
        <v>-0.06282011838017132</v>
      </c>
      <c r="AG40" s="7">
        <v>0.0381335418137585</v>
      </c>
      <c r="AH40" s="6">
        <v>1</v>
      </c>
      <c r="AI40" s="7">
        <v>-0.43016479429728594</v>
      </c>
      <c r="AJ40" s="5">
        <v>0.6839066090487897</v>
      </c>
      <c r="AK40" s="5">
        <v>-1.520046606784165</v>
      </c>
      <c r="AL40" s="7"/>
      <c r="AM40" s="5"/>
      <c r="AN40" s="5"/>
      <c r="AO40" s="7"/>
      <c r="AP40" s="6"/>
      <c r="AQ40" s="7"/>
      <c r="AR40" t="inlineStr">
        <is>
          <t xml:space="preserve">Long when volume &gt;= volMult x mean volume of the previous 48 bars, range &gt;= rangeAtr x previous ATR(14), lower wick &gt;= 50% of the range and the low is the lowest of the last 24 bars (short: the mirror with the upper wick and 24-bar high); exit after maxHold bars; stop 0.25 ATR beyond the wick.</t>
        </is>
      </c>
      <c r="AS40" t="inlineStr">
        <is>
          <t xml:space="preserve">artifacts/runs/hunt_cycle_4/volume-climax-reversal/baseline_dev</t>
        </is>
      </c>
      <c r="AU40" t="inlineStr">
        <is>
          <t xml:space="preserve">artifacts/hunt/cycle_4/report.html</t>
        </is>
      </c>
    </row>
  </sheetData>
  <autoFilter ref="A1:AU40"/>
  <pageMargins left="0.5" right="0.5" top="0.75" bottom="0.75" header="0.3" footer="0.3"/>
</worksheet>
</file>

<file path=xl/worksheets/sheet3.xml><?xml version="1.0" encoding="utf-8"?>
<worksheet xmlns="http://schemas.openxmlformats.org/spreadsheetml/2006/main">
  <sheetViews>
    <sheetView workbookViewId="0">
      <pane xSplit="3" ySplit="1" topLeftCell="D2" activePane="bottomRight" state="frozen"/>
      <selection pane="bottomRight" activeCell="D2" sqref="D2"/>
    </sheetView>
  </sheetViews>
  <sheetFormatPr defaultRowHeight="13.2"/>
  <cols>
    <col min="1" max="1" width="7" customWidth="1"/>
    <col min="2" max="2" width="28" customWidth="1"/>
    <col min="3" max="3" width="16" customWidth="1"/>
    <col min="4" max="4" width="10" customWidth="1"/>
    <col min="5" max="5" width="10" customWidth="1"/>
    <col min="6" max="6" width="12" customWidth="1"/>
    <col min="7" max="7" width="9" customWidth="1"/>
    <col min="8" max="8" width="9" customWidth="1"/>
    <col min="9" max="9" width="9" customWidth="1"/>
    <col min="10" max="10" width="8" customWidth="1"/>
    <col min="11" max="11" width="60" customWidth="1"/>
    <col min="12" max="12" width="44" customWidth="1"/>
  </cols>
  <sheetData>
    <row r="1">
      <c r="A1" s="1" t="inlineStr">
        <is>
          <t xml:space="preserve">Cycle</t>
        </is>
      </c>
      <c r="B1" s="1" t="inlineStr">
        <is>
          <t xml:space="preserve">Strategy</t>
        </is>
      </c>
      <c r="C1" s="1" t="inlineStr">
        <is>
          <t xml:space="preserve">Parameter</t>
        </is>
      </c>
      <c r="D1" s="1" t="inlineStr">
        <is>
          <t xml:space="preserve">Default</t>
        </is>
      </c>
      <c r="E1" s="1" t="inlineStr">
        <is>
          <t xml:space="preserve">Optimized</t>
        </is>
      </c>
      <c r="F1" s="1" t="inlineStr">
        <is>
          <t xml:space="preserve">Used for metrics</t>
        </is>
      </c>
      <c r="G1" s="1" t="inlineStr">
        <is>
          <t xml:space="preserve">Grid min</t>
        </is>
      </c>
      <c r="H1" s="1" t="inlineStr">
        <is>
          <t xml:space="preserve">Grid max</t>
        </is>
      </c>
      <c r="I1" s="1" t="inlineStr">
        <is>
          <t xml:space="preserve">Grid step</t>
        </is>
      </c>
      <c r="J1" s="1" t="inlineStr">
        <is>
          <t xml:space="preserve">Grid points</t>
        </is>
      </c>
      <c r="K1" s="1" t="inlineStr">
        <is>
          <t xml:space="preserve">Grid values</t>
        </is>
      </c>
      <c r="L1" s="1" t="inlineStr">
        <is>
          <t xml:space="preserve">Grid source</t>
        </is>
      </c>
    </row>
    <row r="2">
      <c r="A2" s="6">
        <v>3</v>
      </c>
      <c r="B2" t="inlineStr">
        <is>
          <t xml:space="preserve">donchian-breakout</t>
        </is>
      </c>
      <c r="C2" t="inlineStr">
        <is>
          <t xml:space="preserve">entryLen</t>
        </is>
      </c>
      <c r="D2" s="9">
        <v>72</v>
      </c>
      <c r="E2" s="9"/>
      <c r="F2" s="9">
        <v>72</v>
      </c>
      <c r="G2" s="9">
        <v>24</v>
      </c>
      <c r="H2" s="9">
        <v>168</v>
      </c>
      <c r="I2" s="9">
        <v>24</v>
      </c>
      <c r="J2" s="6">
        <v>7</v>
      </c>
      <c r="K2" t="inlineStr">
        <is>
          <t xml:space="preserve">24, 48, 72, 96, 120, 144, 168</t>
        </is>
      </c>
      <c r="L2" t="inlineStr">
        <is>
          <t xml:space="preserve">registry grid (not searched: rejected before optimization)</t>
        </is>
      </c>
    </row>
    <row r="3">
      <c r="A3" s="6">
        <v>3</v>
      </c>
      <c r="B3" t="inlineStr">
        <is>
          <t xml:space="preserve">donchian-breakout</t>
        </is>
      </c>
      <c r="C3" t="inlineStr">
        <is>
          <t xml:space="preserve">exitLen</t>
        </is>
      </c>
      <c r="D3" s="9">
        <v>24</v>
      </c>
      <c r="E3" s="9"/>
      <c r="F3" s="9">
        <v>24</v>
      </c>
      <c r="G3" s="9">
        <v>12</v>
      </c>
      <c r="H3" s="9">
        <v>72</v>
      </c>
      <c r="I3" s="9">
        <v>12</v>
      </c>
      <c r="J3" s="6">
        <v>6</v>
      </c>
      <c r="K3" t="inlineStr">
        <is>
          <t xml:space="preserve">12, 24, 36, 48, 60, 72</t>
        </is>
      </c>
      <c r="L3" t="inlineStr">
        <is>
          <t xml:space="preserve">registry grid (not searched: rejected before optimization)</t>
        </is>
      </c>
    </row>
    <row r="4">
      <c r="A4" s="6">
        <v>3</v>
      </c>
      <c r="B4" t="inlineStr">
        <is>
          <t xml:space="preserve">donchian-breakout</t>
        </is>
      </c>
      <c r="C4" t="inlineStr">
        <is>
          <t xml:space="preserve">atrMult</t>
        </is>
      </c>
      <c r="D4" s="9">
        <v>3</v>
      </c>
      <c r="E4" s="9"/>
      <c r="F4" s="9">
        <v>3</v>
      </c>
      <c r="G4" s="9">
        <v>2</v>
      </c>
      <c r="H4" s="9">
        <v>5</v>
      </c>
      <c r="I4" s="9">
        <v>1</v>
      </c>
      <c r="J4" s="6">
        <v>4</v>
      </c>
      <c r="K4" t="inlineStr">
        <is>
          <t xml:space="preserve">2, 3, 4, 5</t>
        </is>
      </c>
      <c r="L4" t="inlineStr">
        <is>
          <t xml:space="preserve">registry grid (not searched: rejected before optimization)</t>
        </is>
      </c>
    </row>
    <row r="5">
      <c r="A5" s="6">
        <v>3</v>
      </c>
      <c r="B5" t="inlineStr">
        <is>
          <t xml:space="preserve">bollinger-reversion</t>
        </is>
      </c>
      <c r="C5" t="inlineStr">
        <is>
          <t xml:space="preserve">bbLen</t>
        </is>
      </c>
      <c r="D5" s="9">
        <v>40</v>
      </c>
      <c r="E5" s="9"/>
      <c r="F5" s="9">
        <v>40</v>
      </c>
      <c r="G5" s="9">
        <v>20</v>
      </c>
      <c r="H5" s="9">
        <v>80</v>
      </c>
      <c r="I5" s="9">
        <v>10</v>
      </c>
      <c r="J5" s="6">
        <v>7</v>
      </c>
      <c r="K5" t="inlineStr">
        <is>
          <t xml:space="preserve">20, 30, 40, 50, 60, 70, 80</t>
        </is>
      </c>
      <c r="L5" t="inlineStr">
        <is>
          <t xml:space="preserve">registry grid (not searched: rejected before optimization)</t>
        </is>
      </c>
    </row>
    <row r="6">
      <c r="A6" s="6">
        <v>3</v>
      </c>
      <c r="B6" t="inlineStr">
        <is>
          <t xml:space="preserve">bollinger-reversion</t>
        </is>
      </c>
      <c r="C6" t="inlineStr">
        <is>
          <t xml:space="preserve">bbMult</t>
        </is>
      </c>
      <c r="D6" s="9">
        <v>2</v>
      </c>
      <c r="E6" s="9"/>
      <c r="F6" s="9">
        <v>2</v>
      </c>
      <c r="G6" s="9">
        <v>1.5</v>
      </c>
      <c r="H6" s="9">
        <v>3</v>
      </c>
      <c r="I6" s="9">
        <v>0.5</v>
      </c>
      <c r="J6" s="6">
        <v>4</v>
      </c>
      <c r="K6" t="inlineStr">
        <is>
          <t xml:space="preserve">1.5, 2, 2.5, 3</t>
        </is>
      </c>
      <c r="L6" t="inlineStr">
        <is>
          <t xml:space="preserve">registry grid (not searched: rejected before optimization)</t>
        </is>
      </c>
    </row>
    <row r="7">
      <c r="A7" s="6">
        <v>3</v>
      </c>
      <c r="B7" t="inlineStr">
        <is>
          <t xml:space="preserve">bollinger-reversion</t>
        </is>
      </c>
      <c r="C7" t="inlineStr">
        <is>
          <t xml:space="preserve">atrMult</t>
        </is>
      </c>
      <c r="D7" s="9">
        <v>3</v>
      </c>
      <c r="E7" s="9"/>
      <c r="F7" s="9">
        <v>3</v>
      </c>
      <c r="G7" s="9">
        <v>2</v>
      </c>
      <c r="H7" s="9">
        <v>5</v>
      </c>
      <c r="I7" s="9">
        <v>1</v>
      </c>
      <c r="J7" s="6">
        <v>4</v>
      </c>
      <c r="K7" t="inlineStr">
        <is>
          <t xml:space="preserve">2, 3, 4, 5</t>
        </is>
      </c>
      <c r="L7" t="inlineStr">
        <is>
          <t xml:space="preserve">registry grid (not searched: rejected before optimization)</t>
        </is>
      </c>
    </row>
    <row r="8">
      <c r="A8" s="6">
        <v>3</v>
      </c>
      <c r="B8" t="inlineStr">
        <is>
          <t xml:space="preserve">keltner-breakout</t>
        </is>
      </c>
      <c r="C8" t="inlineStr">
        <is>
          <t xml:space="preserve">emaLen</t>
        </is>
      </c>
      <c r="D8" s="9">
        <v>48</v>
      </c>
      <c r="E8" s="9"/>
      <c r="F8" s="9">
        <v>48</v>
      </c>
      <c r="G8" s="9">
        <v>24</v>
      </c>
      <c r="H8" s="9">
        <v>120</v>
      </c>
      <c r="I8" s="9">
        <v>24</v>
      </c>
      <c r="J8" s="6">
        <v>5</v>
      </c>
      <c r="K8" t="inlineStr">
        <is>
          <t xml:space="preserve">24, 48, 72, 96, 120</t>
        </is>
      </c>
      <c r="L8" t="inlineStr">
        <is>
          <t xml:space="preserve">registry grid (not searched: rejected before optimization)</t>
        </is>
      </c>
    </row>
    <row r="9">
      <c r="A9" s="6">
        <v>3</v>
      </c>
      <c r="B9" t="inlineStr">
        <is>
          <t xml:space="preserve">keltner-breakout</t>
        </is>
      </c>
      <c r="C9" t="inlineStr">
        <is>
          <t xml:space="preserve">bandMult</t>
        </is>
      </c>
      <c r="D9" s="9">
        <v>2</v>
      </c>
      <c r="E9" s="9"/>
      <c r="F9" s="9">
        <v>2</v>
      </c>
      <c r="G9" s="9">
        <v>1</v>
      </c>
      <c r="H9" s="9">
        <v>3</v>
      </c>
      <c r="I9" s="9">
        <v>0.5</v>
      </c>
      <c r="J9" s="6">
        <v>5</v>
      </c>
      <c r="K9" t="inlineStr">
        <is>
          <t xml:space="preserve">1, 1.5, 2, 2.5, 3</t>
        </is>
      </c>
      <c r="L9" t="inlineStr">
        <is>
          <t xml:space="preserve">registry grid (not searched: rejected before optimization)</t>
        </is>
      </c>
    </row>
    <row r="10">
      <c r="A10" s="6">
        <v>3</v>
      </c>
      <c r="B10" t="inlineStr">
        <is>
          <t xml:space="preserve">keltner-breakout</t>
        </is>
      </c>
      <c r="C10" t="inlineStr">
        <is>
          <t xml:space="preserve">atrMult</t>
        </is>
      </c>
      <c r="D10" s="9">
        <v>3</v>
      </c>
      <c r="E10" s="9"/>
      <c r="F10" s="9">
        <v>3</v>
      </c>
      <c r="G10" s="9">
        <v>2</v>
      </c>
      <c r="H10" s="9">
        <v>5</v>
      </c>
      <c r="I10" s="9">
        <v>1</v>
      </c>
      <c r="J10" s="6">
        <v>4</v>
      </c>
      <c r="K10" t="inlineStr">
        <is>
          <t xml:space="preserve">2, 3, 4, 5</t>
        </is>
      </c>
      <c r="L10" t="inlineStr">
        <is>
          <t xml:space="preserve">registry grid (not searched: rejected before optimization)</t>
        </is>
      </c>
    </row>
    <row r="11">
      <c r="A11" s="6">
        <v>3</v>
      </c>
      <c r="B11" t="inlineStr">
        <is>
          <t xml:space="preserve">ts-momentum</t>
        </is>
      </c>
      <c r="C11" t="inlineStr">
        <is>
          <t xml:space="preserve">lookback</t>
        </is>
      </c>
      <c r="D11" s="9">
        <v>96</v>
      </c>
      <c r="E11" s="9"/>
      <c r="F11" s="9">
        <v>96</v>
      </c>
      <c r="G11" s="9">
        <v>24</v>
      </c>
      <c r="H11" s="9">
        <v>216</v>
      </c>
      <c r="I11" s="9">
        <v>24</v>
      </c>
      <c r="J11" s="6">
        <v>9</v>
      </c>
      <c r="K11" t="inlineStr">
        <is>
          <t xml:space="preserve">24, 48, 72, 96, 120, 144, 168, 192, 216</t>
        </is>
      </c>
      <c r="L11" t="inlineStr">
        <is>
          <t xml:space="preserve">registry grid (not searched: rejected before optimization)</t>
        </is>
      </c>
    </row>
    <row r="12">
      <c r="A12" s="6">
        <v>3</v>
      </c>
      <c r="B12" t="inlineStr">
        <is>
          <t xml:space="preserve">ts-momentum</t>
        </is>
      </c>
      <c r="C12" t="inlineStr">
        <is>
          <t xml:space="preserve">threshold</t>
        </is>
      </c>
      <c r="D12" s="9">
        <v>0.01</v>
      </c>
      <c r="E12" s="9"/>
      <c r="F12" s="9">
        <v>0.01</v>
      </c>
      <c r="G12" s="9">
        <v>0</v>
      </c>
      <c r="H12" s="9">
        <v>0.02</v>
      </c>
      <c r="I12" s="9">
        <v>0.005</v>
      </c>
      <c r="J12" s="6">
        <v>5</v>
      </c>
      <c r="K12" t="inlineStr">
        <is>
          <t xml:space="preserve">0, 0.005, 0.01, 0.015, 0.02</t>
        </is>
      </c>
      <c r="L12" t="inlineStr">
        <is>
          <t xml:space="preserve">registry grid (not searched: rejected before optimization)</t>
        </is>
      </c>
    </row>
    <row r="13">
      <c r="A13" s="6">
        <v>3</v>
      </c>
      <c r="B13" t="inlineStr">
        <is>
          <t xml:space="preserve">ts-momentum</t>
        </is>
      </c>
      <c r="C13" t="inlineStr">
        <is>
          <t xml:space="preserve">atrMult</t>
        </is>
      </c>
      <c r="D13" s="9">
        <v>3</v>
      </c>
      <c r="E13" s="9"/>
      <c r="F13" s="9">
        <v>3</v>
      </c>
      <c r="G13" s="9">
        <v>2</v>
      </c>
      <c r="H13" s="9">
        <v>5</v>
      </c>
      <c r="I13" s="9">
        <v>1</v>
      </c>
      <c r="J13" s="6">
        <v>4</v>
      </c>
      <c r="K13" t="inlineStr">
        <is>
          <t xml:space="preserve">2, 3, 4, 5</t>
        </is>
      </c>
      <c r="L13" t="inlineStr">
        <is>
          <t xml:space="preserve">registry grid (not searched: rejected before optimization)</t>
        </is>
      </c>
    </row>
    <row r="14">
      <c r="A14" s="6">
        <v>3</v>
      </c>
      <c r="B14" t="inlineStr">
        <is>
          <t xml:space="preserve">trend-pullback-rsi</t>
        </is>
      </c>
      <c r="C14" t="inlineStr">
        <is>
          <t xml:space="preserve">trendLen</t>
        </is>
      </c>
      <c r="D14" s="9">
        <v>200</v>
      </c>
      <c r="E14" s="9"/>
      <c r="F14" s="9">
        <v>200</v>
      </c>
      <c r="G14" s="9">
        <v>100</v>
      </c>
      <c r="H14" s="9">
        <v>400</v>
      </c>
      <c r="I14" s="9">
        <v>100</v>
      </c>
      <c r="J14" s="6">
        <v>4</v>
      </c>
      <c r="K14" t="inlineStr">
        <is>
          <t xml:space="preserve">100, 200, 300, 400</t>
        </is>
      </c>
      <c r="L14" t="inlineStr">
        <is>
          <t xml:space="preserve">registry grid (not searched: rejected before optimization)</t>
        </is>
      </c>
    </row>
    <row r="15">
      <c r="A15" s="6">
        <v>3</v>
      </c>
      <c r="B15" t="inlineStr">
        <is>
          <t xml:space="preserve">trend-pullback-rsi</t>
        </is>
      </c>
      <c r="C15" t="inlineStr">
        <is>
          <t xml:space="preserve">rsiLen</t>
        </is>
      </c>
      <c r="D15" s="9">
        <v>4</v>
      </c>
      <c r="E15" s="9"/>
      <c r="F15" s="9">
        <v>4</v>
      </c>
      <c r="G15" s="9">
        <v>2</v>
      </c>
      <c r="H15" s="9">
        <v>8</v>
      </c>
      <c r="I15" s="9">
        <v>2</v>
      </c>
      <c r="J15" s="6">
        <v>4</v>
      </c>
      <c r="K15" t="inlineStr">
        <is>
          <t xml:space="preserve">2, 4, 6, 8</t>
        </is>
      </c>
      <c r="L15" t="inlineStr">
        <is>
          <t xml:space="preserve">registry grid (not searched: rejected before optimization)</t>
        </is>
      </c>
    </row>
    <row r="16">
      <c r="A16" s="6">
        <v>3</v>
      </c>
      <c r="B16" t="inlineStr">
        <is>
          <t xml:space="preserve">trend-pullback-rsi</t>
        </is>
      </c>
      <c r="C16" t="inlineStr">
        <is>
          <t xml:space="preserve">level</t>
        </is>
      </c>
      <c r="D16" s="9">
        <v>20</v>
      </c>
      <c r="E16" s="9"/>
      <c r="F16" s="9">
        <v>20</v>
      </c>
      <c r="G16" s="9">
        <v>10</v>
      </c>
      <c r="H16" s="9">
        <v>25</v>
      </c>
      <c r="I16" s="9">
        <v>5</v>
      </c>
      <c r="J16" s="6">
        <v>4</v>
      </c>
      <c r="K16" t="inlineStr">
        <is>
          <t xml:space="preserve">10, 15, 20, 25</t>
        </is>
      </c>
      <c r="L16" t="inlineStr">
        <is>
          <t xml:space="preserve">registry grid (not searched: rejected before optimization)</t>
        </is>
      </c>
    </row>
    <row r="17">
      <c r="A17" s="6">
        <v>3</v>
      </c>
      <c r="B17" t="inlineStr">
        <is>
          <t xml:space="preserve">trend-pullback-rsi</t>
        </is>
      </c>
      <c r="C17" t="inlineStr">
        <is>
          <t xml:space="preserve">atrMult</t>
        </is>
      </c>
      <c r="D17" s="9">
        <v>3</v>
      </c>
      <c r="E17" s="9"/>
      <c r="F17" s="9">
        <v>3</v>
      </c>
      <c r="G17" s="9">
        <v>2</v>
      </c>
      <c r="H17" s="9">
        <v>4</v>
      </c>
      <c r="I17" s="9">
        <v>1</v>
      </c>
      <c r="J17" s="6">
        <v>3</v>
      </c>
      <c r="K17" t="inlineStr">
        <is>
          <t xml:space="preserve">2, 3, 4</t>
        </is>
      </c>
      <c r="L17" t="inlineStr">
        <is>
          <t xml:space="preserve">registry grid (not searched: rejected before optimization)</t>
        </is>
      </c>
    </row>
    <row r="18">
      <c r="A18" s="6">
        <v>4</v>
      </c>
      <c r="B18" t="inlineStr">
        <is>
          <t xml:space="preserve">failed-breakout-fade</t>
        </is>
      </c>
      <c r="C18" t="inlineStr">
        <is>
          <t xml:space="preserve">breakBars</t>
        </is>
      </c>
      <c r="D18" s="9">
        <v>6</v>
      </c>
      <c r="E18" s="9"/>
      <c r="F18" s="9">
        <v>6</v>
      </c>
      <c r="G18" s="9">
        <v>3</v>
      </c>
      <c r="H18" s="9">
        <v>12</v>
      </c>
      <c r="I18" s="9">
        <v>3</v>
      </c>
      <c r="J18" s="6">
        <v>4</v>
      </c>
      <c r="K18" t="inlineStr">
        <is>
          <t xml:space="preserve">3, 6, 9, 12</t>
        </is>
      </c>
      <c r="L18" t="inlineStr">
        <is>
          <t xml:space="preserve">registry grid (not searched: rejected before optimization)</t>
        </is>
      </c>
    </row>
    <row r="19">
      <c r="A19" s="6">
        <v>4</v>
      </c>
      <c r="B19" t="inlineStr">
        <is>
          <t xml:space="preserve">failed-breakout-fade</t>
        </is>
      </c>
      <c r="C19" t="inlineStr">
        <is>
          <t xml:space="preserve">excursionAtr</t>
        </is>
      </c>
      <c r="D19" s="9">
        <v>0.25</v>
      </c>
      <c r="E19" s="9"/>
      <c r="F19" s="9">
        <v>0.25</v>
      </c>
      <c r="G19" s="9">
        <v>0</v>
      </c>
      <c r="H19" s="9">
        <v>0.75</v>
      </c>
      <c r="I19" s="9">
        <v>0.25</v>
      </c>
      <c r="J19" s="6">
        <v>4</v>
      </c>
      <c r="K19" t="inlineStr">
        <is>
          <t xml:space="preserve">0, 0.25, 0.5, 0.75</t>
        </is>
      </c>
      <c r="L19" t="inlineStr">
        <is>
          <t xml:space="preserve">registry grid (not searched: rejected before optimization)</t>
        </is>
      </c>
    </row>
    <row r="20">
      <c r="A20" s="6">
        <v>4</v>
      </c>
      <c r="B20" t="inlineStr">
        <is>
          <t xml:space="preserve">failed-breakout-fade</t>
        </is>
      </c>
      <c r="C20" t="inlineStr">
        <is>
          <t xml:space="preserve">stopBufferAtr</t>
        </is>
      </c>
      <c r="D20" s="9">
        <v>0.5</v>
      </c>
      <c r="E20" s="9"/>
      <c r="F20" s="9">
        <v>0.5</v>
      </c>
      <c r="G20" s="9">
        <v>0.25</v>
      </c>
      <c r="H20" s="9">
        <v>1</v>
      </c>
      <c r="I20" s="9">
        <v>0.25</v>
      </c>
      <c r="J20" s="6">
        <v>4</v>
      </c>
      <c r="K20" t="inlineStr">
        <is>
          <t xml:space="preserve">0.25, 0.5, 0.75, 1</t>
        </is>
      </c>
      <c r="L20" t="inlineStr">
        <is>
          <t xml:space="preserve">registry grid (not searched: rejected before optimization)</t>
        </is>
      </c>
    </row>
    <row r="21">
      <c r="A21" s="6">
        <v>4</v>
      </c>
      <c r="B21" t="inlineStr">
        <is>
          <t xml:space="preserve">failed-breakout-fade</t>
        </is>
      </c>
      <c r="C21" t="inlineStr">
        <is>
          <t xml:space="preserve">maxHold</t>
        </is>
      </c>
      <c r="D21" s="9">
        <v>24</v>
      </c>
      <c r="E21" s="9"/>
      <c r="F21" s="9">
        <v>24</v>
      </c>
      <c r="G21" s="9">
        <v>12</v>
      </c>
      <c r="H21" s="9">
        <v>36</v>
      </c>
      <c r="I21" s="9">
        <v>12</v>
      </c>
      <c r="J21" s="6">
        <v>3</v>
      </c>
      <c r="K21" t="inlineStr">
        <is>
          <t xml:space="preserve">12, 24, 36</t>
        </is>
      </c>
      <c r="L21" t="inlineStr">
        <is>
          <t xml:space="preserve">registry grid (not searched: rejected before optimization)</t>
        </is>
      </c>
    </row>
    <row r="22">
      <c r="A22" s="6">
        <v>4</v>
      </c>
      <c r="B22" t="inlineStr">
        <is>
          <t xml:space="preserve">volume-climax-reversal</t>
        </is>
      </c>
      <c r="C22" t="inlineStr">
        <is>
          <t xml:space="preserve">volMult</t>
        </is>
      </c>
      <c r="D22" s="9">
        <v>2</v>
      </c>
      <c r="E22" s="9"/>
      <c r="F22" s="9">
        <v>2</v>
      </c>
      <c r="G22" s="9">
        <v>1.5</v>
      </c>
      <c r="H22" s="9">
        <v>3.5</v>
      </c>
      <c r="I22" s="9">
        <v>0.5</v>
      </c>
      <c r="J22" s="6">
        <v>5</v>
      </c>
      <c r="K22" t="inlineStr">
        <is>
          <t xml:space="preserve">1.5, 2, 2.5, 3, 3.5</t>
        </is>
      </c>
      <c r="L22" t="inlineStr">
        <is>
          <t xml:space="preserve">registry grid (not searched: rejected before optimization)</t>
        </is>
      </c>
    </row>
    <row r="23">
      <c r="A23" s="6">
        <v>4</v>
      </c>
      <c r="B23" t="inlineStr">
        <is>
          <t xml:space="preserve">volume-climax-reversal</t>
        </is>
      </c>
      <c r="C23" t="inlineStr">
        <is>
          <t xml:space="preserve">rangeAtr</t>
        </is>
      </c>
      <c r="D23" s="9">
        <v>1.5</v>
      </c>
      <c r="E23" s="9"/>
      <c r="F23" s="9">
        <v>1.5</v>
      </c>
      <c r="G23" s="9">
        <v>1</v>
      </c>
      <c r="H23" s="9">
        <v>2.5</v>
      </c>
      <c r="I23" s="9">
        <v>0.25</v>
      </c>
      <c r="J23" s="6">
        <v>7</v>
      </c>
      <c r="K23" t="inlineStr">
        <is>
          <t xml:space="preserve">1, 1.25, 1.5, 1.75, 2, 2.25, 2.5</t>
        </is>
      </c>
      <c r="L23" t="inlineStr">
        <is>
          <t xml:space="preserve">registry grid (not searched: rejected before optimization)</t>
        </is>
      </c>
    </row>
    <row r="24">
      <c r="A24" s="6">
        <v>4</v>
      </c>
      <c r="B24" t="inlineStr">
        <is>
          <t xml:space="preserve">volume-climax-reversal</t>
        </is>
      </c>
      <c r="C24" t="inlineStr">
        <is>
          <t xml:space="preserve">maxHold</t>
        </is>
      </c>
      <c r="D24" s="9">
        <v>12</v>
      </c>
      <c r="E24" s="9"/>
      <c r="F24" s="9">
        <v>12</v>
      </c>
      <c r="G24" s="9">
        <v>6</v>
      </c>
      <c r="H24" s="9">
        <v>24</v>
      </c>
      <c r="I24" s="9">
        <v>6</v>
      </c>
      <c r="J24" s="6">
        <v>4</v>
      </c>
      <c r="K24" t="inlineStr">
        <is>
          <t xml:space="preserve">6, 12, 18, 24</t>
        </is>
      </c>
      <c r="L24" t="inlineStr">
        <is>
          <t xml:space="preserve">registry grid (not searched: rejected before optimization)</t>
        </is>
      </c>
    </row>
    <row r="25">
      <c r="A25" s="6">
        <v>4</v>
      </c>
      <c r="B25" t="inlineStr">
        <is>
          <t xml:space="preserve">session-momentum</t>
        </is>
      </c>
      <c r="C25" t="inlineStr">
        <is>
          <t xml:space="preserve">moveMult</t>
        </is>
      </c>
      <c r="D25" s="9">
        <v>1</v>
      </c>
      <c r="E25" s="9"/>
      <c r="F25" s="9">
        <v>1</v>
      </c>
      <c r="G25" s="9">
        <v>0.5</v>
      </c>
      <c r="H25" s="9">
        <v>1.5</v>
      </c>
      <c r="I25" s="9">
        <v>0.25</v>
      </c>
      <c r="J25" s="6">
        <v>5</v>
      </c>
      <c r="K25" t="inlineStr">
        <is>
          <t xml:space="preserve">0.5, 0.75, 1, 1.25, 1.5</t>
        </is>
      </c>
      <c r="L25" t="inlineStr">
        <is>
          <t xml:space="preserve">registry grid (not searched: rejected before optimization)</t>
        </is>
      </c>
    </row>
    <row r="26">
      <c r="A26" s="6">
        <v>4</v>
      </c>
      <c r="B26" t="inlineStr">
        <is>
          <t xml:space="preserve">session-momentum</t>
        </is>
      </c>
      <c r="C26" t="inlineStr">
        <is>
          <t xml:space="preserve">holdBars</t>
        </is>
      </c>
      <c r="D26" s="9">
        <v>8</v>
      </c>
      <c r="E26" s="9"/>
      <c r="F26" s="9">
        <v>8</v>
      </c>
      <c r="G26" s="9">
        <v>4</v>
      </c>
      <c r="H26" s="9">
        <v>12</v>
      </c>
      <c r="I26" s="9">
        <v>2</v>
      </c>
      <c r="J26" s="6">
        <v>5</v>
      </c>
      <c r="K26" t="inlineStr">
        <is>
          <t xml:space="preserve">4, 6, 8, 10, 12</t>
        </is>
      </c>
      <c r="L26" t="inlineStr">
        <is>
          <t xml:space="preserve">registry grid (not searched: rejected before optimization)</t>
        </is>
      </c>
    </row>
    <row r="27">
      <c r="A27" s="6">
        <v>4</v>
      </c>
      <c r="B27" t="inlineStr">
        <is>
          <t xml:space="preserve">session-momentum</t>
        </is>
      </c>
      <c r="C27" t="inlineStr">
        <is>
          <t xml:space="preserve">atrMult</t>
        </is>
      </c>
      <c r="D27" s="9">
        <v>3</v>
      </c>
      <c r="E27" s="9"/>
      <c r="F27" s="9">
        <v>3</v>
      </c>
      <c r="G27" s="9">
        <v>2</v>
      </c>
      <c r="H27" s="9">
        <v>4</v>
      </c>
      <c r="I27" s="9">
        <v>0.5</v>
      </c>
      <c r="J27" s="6">
        <v>5</v>
      </c>
      <c r="K27" t="inlineStr">
        <is>
          <t xml:space="preserve">2, 2.5, 3, 3.5, 4</t>
        </is>
      </c>
      <c r="L27" t="inlineStr">
        <is>
          <t xml:space="preserve">registry grid (not searched: rejected before optimization)</t>
        </is>
      </c>
    </row>
    <row r="28">
      <c r="A28" s="6">
        <v>4</v>
      </c>
      <c r="B28" t="inlineStr">
        <is>
          <t xml:space="preserve">impulse-bar-continuation</t>
        </is>
      </c>
      <c r="C28" t="inlineStr">
        <is>
          <t xml:space="preserve">rangeAtr</t>
        </is>
      </c>
      <c r="D28" s="9">
        <v>2.5</v>
      </c>
      <c r="E28" s="9"/>
      <c r="F28" s="9">
        <v>2.5</v>
      </c>
      <c r="G28" s="9">
        <v>2</v>
      </c>
      <c r="H28" s="9">
        <v>3.5</v>
      </c>
      <c r="I28" s="9">
        <v>0.5</v>
      </c>
      <c r="J28" s="6">
        <v>4</v>
      </c>
      <c r="K28" t="inlineStr">
        <is>
          <t xml:space="preserve">2, 2.5, 3, 3.5</t>
        </is>
      </c>
      <c r="L28" t="inlineStr">
        <is>
          <t xml:space="preserve">registry grid (not searched: rejected before optimization)</t>
        </is>
      </c>
    </row>
    <row r="29">
      <c r="A29" s="6">
        <v>4</v>
      </c>
      <c r="B29" t="inlineStr">
        <is>
          <t xml:space="preserve">impulse-bar-continuation</t>
        </is>
      </c>
      <c r="C29" t="inlineStr">
        <is>
          <t xml:space="preserve">bodyFrac</t>
        </is>
      </c>
      <c r="D29" s="9">
        <v>0.6</v>
      </c>
      <c r="E29" s="9"/>
      <c r="F29" s="9">
        <v>0.6</v>
      </c>
      <c r="G29" s="9">
        <v>0.5</v>
      </c>
      <c r="H29" s="9">
        <v>0.8</v>
      </c>
      <c r="I29" s="9">
        <v>0.1</v>
      </c>
      <c r="J29" s="6">
        <v>4</v>
      </c>
      <c r="K29" t="inlineStr">
        <is>
          <t xml:space="preserve">0.5, 0.6, 0.7, 0.8</t>
        </is>
      </c>
      <c r="L29" t="inlineStr">
        <is>
          <t xml:space="preserve">registry grid (not searched: rejected before optimization)</t>
        </is>
      </c>
    </row>
    <row r="30">
      <c r="A30" s="6">
        <v>4</v>
      </c>
      <c r="B30" t="inlineStr">
        <is>
          <t xml:space="preserve">impulse-bar-continuation</t>
        </is>
      </c>
      <c r="C30" t="inlineStr">
        <is>
          <t xml:space="preserve">holdBars</t>
        </is>
      </c>
      <c r="D30" s="9">
        <v>12</v>
      </c>
      <c r="E30" s="9"/>
      <c r="F30" s="9">
        <v>12</v>
      </c>
      <c r="G30" s="9">
        <v>6</v>
      </c>
      <c r="H30" s="9">
        <v>18</v>
      </c>
      <c r="I30" s="9">
        <v>6</v>
      </c>
      <c r="J30" s="6">
        <v>3</v>
      </c>
      <c r="K30" t="inlineStr">
        <is>
          <t xml:space="preserve">6, 12, 18</t>
        </is>
      </c>
      <c r="L30" t="inlineStr">
        <is>
          <t xml:space="preserve">registry grid (not searched: rejected before optimization)</t>
        </is>
      </c>
    </row>
    <row r="31">
      <c r="A31" s="6">
        <v>4</v>
      </c>
      <c r="B31" t="inlineStr">
        <is>
          <t xml:space="preserve">impulse-bar-continuation</t>
        </is>
      </c>
      <c r="C31" t="inlineStr">
        <is>
          <t xml:space="preserve">atrMult</t>
        </is>
      </c>
      <c r="D31" s="9">
        <v>2</v>
      </c>
      <c r="E31" s="9"/>
      <c r="F31" s="9">
        <v>2</v>
      </c>
      <c r="G31" s="9">
        <v>1.5</v>
      </c>
      <c r="H31" s="9">
        <v>3</v>
      </c>
      <c r="I31" s="9">
        <v>0.5</v>
      </c>
      <c r="J31" s="6">
        <v>4</v>
      </c>
      <c r="K31" t="inlineStr">
        <is>
          <t xml:space="preserve">1.5, 2, 2.5, 3</t>
        </is>
      </c>
      <c r="L31" t="inlineStr">
        <is>
          <t xml:space="preserve">registry grid (not searched: rejected before optimization)</t>
        </is>
      </c>
    </row>
    <row r="32">
      <c r="A32" s="6">
        <v>4</v>
      </c>
      <c r="B32" t="inlineStr">
        <is>
          <t xml:space="preserve">vol-regime-switch</t>
        </is>
      </c>
      <c r="C32" t="inlineStr">
        <is>
          <t xml:space="preserve">regimeLen</t>
        </is>
      </c>
      <c r="D32" s="9">
        <v>720</v>
      </c>
      <c r="E32" s="9"/>
      <c r="F32" s="9">
        <v>720</v>
      </c>
      <c r="G32" s="9">
        <v>360</v>
      </c>
      <c r="H32" s="9">
        <v>1440</v>
      </c>
      <c r="I32" s="9">
        <v>360</v>
      </c>
      <c r="J32" s="6">
        <v>4</v>
      </c>
      <c r="K32" t="inlineStr">
        <is>
          <t xml:space="preserve">360, 720, 1080, 1440</t>
        </is>
      </c>
      <c r="L32" t="inlineStr">
        <is>
          <t xml:space="preserve">registry grid (not searched: rejected before optimization)</t>
        </is>
      </c>
    </row>
    <row r="33">
      <c r="A33" s="6">
        <v>4</v>
      </c>
      <c r="B33" t="inlineStr">
        <is>
          <t xml:space="preserve">vol-regime-switch</t>
        </is>
      </c>
      <c r="C33" t="inlineStr">
        <is>
          <t xml:space="preserve">channelLen</t>
        </is>
      </c>
      <c r="D33" s="9">
        <v>48</v>
      </c>
      <c r="E33" s="9"/>
      <c r="F33" s="9">
        <v>48</v>
      </c>
      <c r="G33" s="9">
        <v>24</v>
      </c>
      <c r="H33" s="9">
        <v>96</v>
      </c>
      <c r="I33" s="9">
        <v>24</v>
      </c>
      <c r="J33" s="6">
        <v>4</v>
      </c>
      <c r="K33" t="inlineStr">
        <is>
          <t xml:space="preserve">24, 48, 72, 96</t>
        </is>
      </c>
      <c r="L33" t="inlineStr">
        <is>
          <t xml:space="preserve">registry grid (not searched: rejected before optimization)</t>
        </is>
      </c>
    </row>
    <row r="34">
      <c r="A34" s="6">
        <v>4</v>
      </c>
      <c r="B34" t="inlineStr">
        <is>
          <t xml:space="preserve">vol-regime-switch</t>
        </is>
      </c>
      <c r="C34" t="inlineStr">
        <is>
          <t xml:space="preserve">edgeFrac</t>
        </is>
      </c>
      <c r="D34" s="9">
        <v>0.1</v>
      </c>
      <c r="E34" s="9"/>
      <c r="F34" s="9">
        <v>0.1</v>
      </c>
      <c r="G34" s="9">
        <v>0.05</v>
      </c>
      <c r="H34" s="9">
        <v>0.2</v>
      </c>
      <c r="I34" s="9">
        <v>0.05</v>
      </c>
      <c r="J34" s="6">
        <v>4</v>
      </c>
      <c r="K34" t="inlineStr">
        <is>
          <t xml:space="preserve">0.05, 0.1, 0.15, 0.2</t>
        </is>
      </c>
      <c r="L34" t="inlineStr">
        <is>
          <t xml:space="preserve">registry grid (not searched: rejected before optimization)</t>
        </is>
      </c>
    </row>
    <row r="35">
      <c r="A35" s="6">
        <v>4</v>
      </c>
      <c r="B35" t="inlineStr">
        <is>
          <t xml:space="preserve">vol-regime-switch</t>
        </is>
      </c>
      <c r="C35" t="inlineStr">
        <is>
          <t xml:space="preserve">atrMult</t>
        </is>
      </c>
      <c r="D35" s="9">
        <v>2</v>
      </c>
      <c r="E35" s="9"/>
      <c r="F35" s="9">
        <v>2</v>
      </c>
      <c r="G35" s="9">
        <v>1.5</v>
      </c>
      <c r="H35" s="9">
        <v>2.5</v>
      </c>
      <c r="I35" s="9">
        <v>0.5</v>
      </c>
      <c r="J35" s="6">
        <v>3</v>
      </c>
      <c r="K35" t="inlineStr">
        <is>
          <t xml:space="preserve">1.5, 2, 2.5</t>
        </is>
      </c>
      <c r="L35" t="inlineStr">
        <is>
          <t xml:space="preserve">registry grid (not searched: rejected before optimization)</t>
        </is>
      </c>
    </row>
    <row r="36">
      <c r="A36" s="6">
        <v>5</v>
      </c>
      <c r="B36" t="inlineStr">
        <is>
          <t xml:space="preserve">donchian-ensemble-trend</t>
        </is>
      </c>
      <c r="C36" t="inlineStr">
        <is>
          <t xml:space="preserve">baseDays</t>
        </is>
      </c>
      <c r="D36" s="9">
        <v>2</v>
      </c>
      <c r="E36" s="9"/>
      <c r="F36" s="9">
        <v>2</v>
      </c>
      <c r="G36" s="9">
        <v>1</v>
      </c>
      <c r="H36" s="9">
        <v>6</v>
      </c>
      <c r="I36" s="9">
        <v>1</v>
      </c>
      <c r="J36" s="6">
        <v>6</v>
      </c>
      <c r="K36" t="inlineStr">
        <is>
          <t xml:space="preserve">1, 2, 3, 4, 5, 6</t>
        </is>
      </c>
      <c r="L36" t="inlineStr">
        <is>
          <t xml:space="preserve">registry grid (not searched: rejected before optimization)</t>
        </is>
      </c>
    </row>
    <row r="37">
      <c r="A37" s="6">
        <v>5</v>
      </c>
      <c r="B37" t="inlineStr">
        <is>
          <t xml:space="preserve">donchian-ensemble-trend</t>
        </is>
      </c>
      <c r="C37" t="inlineStr">
        <is>
          <t xml:space="preserve">minAgree</t>
        </is>
      </c>
      <c r="D37" s="9">
        <v>3</v>
      </c>
      <c r="E37" s="9"/>
      <c r="F37" s="9">
        <v>3</v>
      </c>
      <c r="G37" s="9">
        <v>3</v>
      </c>
      <c r="H37" s="9">
        <v>4</v>
      </c>
      <c r="I37" s="9">
        <v>1</v>
      </c>
      <c r="J37" s="6">
        <v>2</v>
      </c>
      <c r="K37" t="inlineStr">
        <is>
          <t xml:space="preserve">3, 4</t>
        </is>
      </c>
      <c r="L37" t="inlineStr">
        <is>
          <t xml:space="preserve">registry grid (not searched: rejected before optimization)</t>
        </is>
      </c>
    </row>
    <row r="38">
      <c r="A38" s="6">
        <v>5</v>
      </c>
      <c r="B38" t="inlineStr">
        <is>
          <t xml:space="preserve">donchian-ensemble-trend</t>
        </is>
      </c>
      <c r="C38" t="inlineStr">
        <is>
          <t xml:space="preserve">trailMult</t>
        </is>
      </c>
      <c r="D38" s="9">
        <v>2</v>
      </c>
      <c r="E38" s="9"/>
      <c r="F38" s="9">
        <v>2</v>
      </c>
      <c r="G38" s="9">
        <v>1</v>
      </c>
      <c r="H38" s="9">
        <v>4</v>
      </c>
      <c r="I38" s="9">
        <v>0.5</v>
      </c>
      <c r="J38" s="6">
        <v>7</v>
      </c>
      <c r="K38" t="inlineStr">
        <is>
          <t xml:space="preserve">1, 1.5, 2, 2.5, 3, 3.5, 4</t>
        </is>
      </c>
      <c r="L38" t="inlineStr">
        <is>
          <t xml:space="preserve">registry grid (not searched: rejected before optimization)</t>
        </is>
      </c>
    </row>
    <row r="39">
      <c r="A39" s="6">
        <v>5</v>
      </c>
      <c r="B39" t="inlineStr">
        <is>
          <t xml:space="preserve">funding-crowding-fade</t>
        </is>
      </c>
      <c r="C39" t="inlineStr">
        <is>
          <t xml:space="preserve">quantile</t>
        </is>
      </c>
      <c r="D39" s="9">
        <v>0.2</v>
      </c>
      <c r="E39" s="9"/>
      <c r="F39" s="9">
        <v>0.2</v>
      </c>
      <c r="G39" s="9">
        <v>0.1</v>
      </c>
      <c r="H39" s="9">
        <v>0.3</v>
      </c>
      <c r="I39" s="9">
        <v>0.05</v>
      </c>
      <c r="J39" s="6">
        <v>5</v>
      </c>
      <c r="K39" t="inlineStr">
        <is>
          <t xml:space="preserve">0.1, 0.15, 0.2, 0.25, 0.3</t>
        </is>
      </c>
      <c r="L39" t="inlineStr">
        <is>
          <t xml:space="preserve">searched in this cycle</t>
        </is>
      </c>
    </row>
    <row r="40">
      <c r="A40" s="6">
        <v>5</v>
      </c>
      <c r="B40" t="inlineStr">
        <is>
          <t xml:space="preserve">funding-crowding-fade</t>
        </is>
      </c>
      <c r="C40" t="inlineStr">
        <is>
          <t xml:space="preserve">holdBars</t>
        </is>
      </c>
      <c r="D40" s="9">
        <v>72</v>
      </c>
      <c r="E40" s="9"/>
      <c r="F40" s="9">
        <v>72</v>
      </c>
      <c r="G40" s="9">
        <v>24</v>
      </c>
      <c r="H40" s="9">
        <v>120</v>
      </c>
      <c r="I40" s="9">
        <v>24</v>
      </c>
      <c r="J40" s="6">
        <v>5</v>
      </c>
      <c r="K40" t="inlineStr">
        <is>
          <t xml:space="preserve">24, 48, 72, 96, 120</t>
        </is>
      </c>
      <c r="L40" t="inlineStr">
        <is>
          <t xml:space="preserve">searched in this cycle</t>
        </is>
      </c>
    </row>
    <row r="41">
      <c r="A41" s="6">
        <v>5</v>
      </c>
      <c r="B41" t="inlineStr">
        <is>
          <t xml:space="preserve">funding-crowding-fade</t>
        </is>
      </c>
      <c r="C41" t="inlineStr">
        <is>
          <t xml:space="preserve">stopMult</t>
        </is>
      </c>
      <c r="D41" s="9">
        <v>1.5</v>
      </c>
      <c r="E41" s="9"/>
      <c r="F41" s="9">
        <v>1.5</v>
      </c>
      <c r="G41" s="9">
        <v>0.5</v>
      </c>
      <c r="H41" s="9">
        <v>3</v>
      </c>
      <c r="I41" s="9">
        <v>0.5</v>
      </c>
      <c r="J41" s="6">
        <v>6</v>
      </c>
      <c r="K41" t="inlineStr">
        <is>
          <t xml:space="preserve">0.5, 1, 1.5, 2, 2.5, 3</t>
        </is>
      </c>
      <c r="L41" t="inlineStr">
        <is>
          <t xml:space="preserve">searched in this cycle</t>
        </is>
      </c>
    </row>
    <row r="42">
      <c r="A42" s="6">
        <v>5</v>
      </c>
      <c r="B42" t="inlineStr">
        <is>
          <t xml:space="preserve">noise-area-momentum</t>
        </is>
      </c>
      <c r="C42" t="inlineStr">
        <is>
          <t xml:space="preserve">lookbackDays</t>
        </is>
      </c>
      <c r="D42" s="9">
        <v>14</v>
      </c>
      <c r="E42" s="9"/>
      <c r="F42" s="9">
        <v>14</v>
      </c>
      <c r="G42" s="9">
        <v>7</v>
      </c>
      <c r="H42" s="9">
        <v>28</v>
      </c>
      <c r="I42" s="9">
        <v>7</v>
      </c>
      <c r="J42" s="6">
        <v>4</v>
      </c>
      <c r="K42" t="inlineStr">
        <is>
          <t xml:space="preserve">7, 14, 21, 28</t>
        </is>
      </c>
      <c r="L42" t="inlineStr">
        <is>
          <t xml:space="preserve">registry grid (not searched: rejected before optimization)</t>
        </is>
      </c>
    </row>
    <row r="43">
      <c r="A43" s="6">
        <v>5</v>
      </c>
      <c r="B43" t="inlineStr">
        <is>
          <t xml:space="preserve">noise-area-momentum</t>
        </is>
      </c>
      <c r="C43" t="inlineStr">
        <is>
          <t xml:space="preserve">bandMult</t>
        </is>
      </c>
      <c r="D43" s="9">
        <v>1</v>
      </c>
      <c r="E43" s="9"/>
      <c r="F43" s="9">
        <v>1</v>
      </c>
      <c r="G43" s="9">
        <v>0.5</v>
      </c>
      <c r="H43" s="9">
        <v>2</v>
      </c>
      <c r="I43" s="9">
        <v>0.25</v>
      </c>
      <c r="J43" s="6">
        <v>7</v>
      </c>
      <c r="K43" t="inlineStr">
        <is>
          <t xml:space="preserve">0.5, 0.75, 1, 1.25, 1.5, 1.75, 2</t>
        </is>
      </c>
      <c r="L43" t="inlineStr">
        <is>
          <t xml:space="preserve">registry grid (not searched: rejected before optimization)</t>
        </is>
      </c>
    </row>
    <row r="44">
      <c r="A44" s="6">
        <v>5</v>
      </c>
      <c r="B44" t="inlineStr">
        <is>
          <t xml:space="preserve">noise-area-momentum</t>
        </is>
      </c>
      <c r="C44" t="inlineStr">
        <is>
          <t xml:space="preserve">firstHour</t>
        </is>
      </c>
      <c r="D44" s="9">
        <v>2</v>
      </c>
      <c r="E44" s="9"/>
      <c r="F44" s="9">
        <v>2</v>
      </c>
      <c r="G44" s="9">
        <v>0</v>
      </c>
      <c r="H44" s="9">
        <v>6</v>
      </c>
      <c r="I44" s="9">
        <v>2</v>
      </c>
      <c r="J44" s="6">
        <v>4</v>
      </c>
      <c r="K44" t="inlineStr">
        <is>
          <t xml:space="preserve">0, 2, 4, 6</t>
        </is>
      </c>
      <c r="L44" t="inlineStr">
        <is>
          <t xml:space="preserve">registry grid (not searched: rejected before optimization)</t>
        </is>
      </c>
    </row>
    <row r="45">
      <c r="A45" s="6">
        <v>5</v>
      </c>
      <c r="B45" t="inlineStr">
        <is>
          <t xml:space="preserve">nr-compression-breakout</t>
        </is>
      </c>
      <c r="C45" t="inlineStr">
        <is>
          <t xml:space="preserve">nrLen</t>
        </is>
      </c>
      <c r="D45" s="9">
        <v>4</v>
      </c>
      <c r="E45" s="9"/>
      <c r="F45" s="9">
        <v>4</v>
      </c>
      <c r="G45" s="9">
        <v>4</v>
      </c>
      <c r="H45" s="9">
        <v>7</v>
      </c>
      <c r="I45" s="9">
        <v>1</v>
      </c>
      <c r="J45" s="6">
        <v>4</v>
      </c>
      <c r="K45" t="inlineStr">
        <is>
          <t xml:space="preserve">4, 5, 6, 7</t>
        </is>
      </c>
      <c r="L45" t="inlineStr">
        <is>
          <t xml:space="preserve">registry grid (not searched: rejected before optimization)</t>
        </is>
      </c>
    </row>
    <row r="46">
      <c r="A46" s="6">
        <v>5</v>
      </c>
      <c r="B46" t="inlineStr">
        <is>
          <t xml:space="preserve">nr-compression-breakout</t>
        </is>
      </c>
      <c r="C46" t="inlineStr">
        <is>
          <t xml:space="preserve">holdBars</t>
        </is>
      </c>
      <c r="D46" s="9">
        <v>24</v>
      </c>
      <c r="E46" s="9"/>
      <c r="F46" s="9">
        <v>24</v>
      </c>
      <c r="G46" s="9">
        <v>12</v>
      </c>
      <c r="H46" s="9">
        <v>72</v>
      </c>
      <c r="I46" s="9">
        <v>12</v>
      </c>
      <c r="J46" s="6">
        <v>6</v>
      </c>
      <c r="K46" t="inlineStr">
        <is>
          <t xml:space="preserve">12, 24, 36, 48, 60, 72</t>
        </is>
      </c>
      <c r="L46" t="inlineStr">
        <is>
          <t xml:space="preserve">registry grid (not searched: rejected before optimization)</t>
        </is>
      </c>
    </row>
    <row r="47">
      <c r="A47" s="6">
        <v>5</v>
      </c>
      <c r="B47" t="inlineStr">
        <is>
          <t xml:space="preserve">nr-compression-breakout</t>
        </is>
      </c>
      <c r="C47" t="inlineStr">
        <is>
          <t xml:space="preserve">stopMult</t>
        </is>
      </c>
      <c r="D47" s="9">
        <v>1</v>
      </c>
      <c r="E47" s="9"/>
      <c r="F47" s="9">
        <v>1</v>
      </c>
      <c r="G47" s="9">
        <v>0.5</v>
      </c>
      <c r="H47" s="9">
        <v>1.5</v>
      </c>
      <c r="I47" s="9">
        <v>0.25</v>
      </c>
      <c r="J47" s="6">
        <v>5</v>
      </c>
      <c r="K47" t="inlineStr">
        <is>
          <t xml:space="preserve">0.5, 0.75, 1, 1.25, 1.5</t>
        </is>
      </c>
      <c r="L47" t="inlineStr">
        <is>
          <t xml:space="preserve">registry grid (not searched: rejected before optimization)</t>
        </is>
      </c>
    </row>
    <row r="48">
      <c r="A48" s="6">
        <v>5</v>
      </c>
      <c r="B48" t="inlineStr">
        <is>
          <t xml:space="preserve">tsmom-vote</t>
        </is>
      </c>
      <c r="C48" t="inlineStr">
        <is>
          <t xml:space="preserve">baseDays</t>
        </is>
      </c>
      <c r="D48" s="9">
        <v>5</v>
      </c>
      <c r="E48" s="9"/>
      <c r="F48" s="9">
        <v>5</v>
      </c>
      <c r="G48" s="9">
        <v>3</v>
      </c>
      <c r="H48" s="9">
        <v>10</v>
      </c>
      <c r="I48" s="9">
        <v>1</v>
      </c>
      <c r="J48" s="6">
        <v>8</v>
      </c>
      <c r="K48" t="inlineStr">
        <is>
          <t xml:space="preserve">3, 4, 5, 6, 7, 8, 9, 10</t>
        </is>
      </c>
      <c r="L48" t="inlineStr">
        <is>
          <t xml:space="preserve">registry grid (not searched: rejected before optimization)</t>
        </is>
      </c>
    </row>
    <row r="49">
      <c r="A49" s="6">
        <v>5</v>
      </c>
      <c r="B49" t="inlineStr">
        <is>
          <t xml:space="preserve">tsmom-vote</t>
        </is>
      </c>
      <c r="C49" t="inlineStr">
        <is>
          <t xml:space="preserve">unanimous</t>
        </is>
      </c>
      <c r="D49" s="9">
        <v>0</v>
      </c>
      <c r="E49" s="9"/>
      <c r="F49" s="9">
        <v>0</v>
      </c>
      <c r="G49" s="9">
        <v>0</v>
      </c>
      <c r="H49" s="9">
        <v>1</v>
      </c>
      <c r="I49" s="9">
        <v>1</v>
      </c>
      <c r="J49" s="6">
        <v>2</v>
      </c>
      <c r="K49" t="inlineStr">
        <is>
          <t xml:space="preserve">0, 1</t>
        </is>
      </c>
      <c r="L49" t="inlineStr">
        <is>
          <t xml:space="preserve">registry grid (not searched: rejected before optimization)</t>
        </is>
      </c>
    </row>
    <row r="50">
      <c r="A50" s="6">
        <v>5</v>
      </c>
      <c r="B50" t="inlineStr">
        <is>
          <t xml:space="preserve">tsmom-vote</t>
        </is>
      </c>
      <c r="C50" t="inlineStr">
        <is>
          <t xml:space="preserve">stopMult</t>
        </is>
      </c>
      <c r="D50" s="9">
        <v>2</v>
      </c>
      <c r="E50" s="9"/>
      <c r="F50" s="9">
        <v>2</v>
      </c>
      <c r="G50" s="9">
        <v>1</v>
      </c>
      <c r="H50" s="9">
        <v>3.5</v>
      </c>
      <c r="I50" s="9">
        <v>0.5</v>
      </c>
      <c r="J50" s="6">
        <v>6</v>
      </c>
      <c r="K50" t="inlineStr">
        <is>
          <t xml:space="preserve">1, 1.5, 2, 2.5, 3, 3.5</t>
        </is>
      </c>
      <c r="L50" t="inlineStr">
        <is>
          <t xml:space="preserve">registry grid (not searched: rejected before optimization)</t>
        </is>
      </c>
    </row>
    <row r="51">
      <c r="A51" s="6">
        <v>6</v>
      </c>
      <c r="B51" t="inlineStr">
        <is>
          <t xml:space="preserve">max-min-daily</t>
        </is>
      </c>
      <c r="C51" t="inlineStr">
        <is>
          <t xml:space="preserve">lookbackDays</t>
        </is>
      </c>
      <c r="D51" s="9">
        <v>10</v>
      </c>
      <c r="E51" s="9"/>
      <c r="F51" s="9">
        <v>10</v>
      </c>
      <c r="G51" s="9">
        <v>10</v>
      </c>
      <c r="H51" s="9">
        <v>50</v>
      </c>
      <c r="I51" s="9">
        <v>10</v>
      </c>
      <c r="J51" s="6">
        <v>5</v>
      </c>
      <c r="K51" t="inlineStr">
        <is>
          <t xml:space="preserve">10, 20, 30, 40, 50</t>
        </is>
      </c>
      <c r="L51" t="inlineStr">
        <is>
          <t xml:space="preserve">registry grid (not searched: rejected before optimization)</t>
        </is>
      </c>
    </row>
    <row r="52">
      <c r="A52" s="6">
        <v>6</v>
      </c>
      <c r="B52" t="inlineStr">
        <is>
          <t xml:space="preserve">max-min-daily</t>
        </is>
      </c>
      <c r="C52" t="inlineStr">
        <is>
          <t xml:space="preserve">holdDays</t>
        </is>
      </c>
      <c r="D52" s="9">
        <v>1</v>
      </c>
      <c r="E52" s="9"/>
      <c r="F52" s="9">
        <v>1</v>
      </c>
      <c r="G52" s="9">
        <v>1</v>
      </c>
      <c r="H52" s="9">
        <v>5</v>
      </c>
      <c r="I52" s="9">
        <v>1</v>
      </c>
      <c r="J52" s="6">
        <v>5</v>
      </c>
      <c r="K52" t="inlineStr">
        <is>
          <t xml:space="preserve">1, 2, 3, 4, 5</t>
        </is>
      </c>
      <c r="L52" t="inlineStr">
        <is>
          <t xml:space="preserve">registry grid (not searched: rejected before optimization)</t>
        </is>
      </c>
    </row>
    <row r="53">
      <c r="A53" s="6">
        <v>6</v>
      </c>
      <c r="B53" t="inlineStr">
        <is>
          <t xml:space="preserve">max-min-daily</t>
        </is>
      </c>
      <c r="C53" t="inlineStr">
        <is>
          <t xml:space="preserve">stopMult</t>
        </is>
      </c>
      <c r="D53" s="9">
        <v>2</v>
      </c>
      <c r="E53" s="9"/>
      <c r="F53" s="9">
        <v>2</v>
      </c>
      <c r="G53" s="9">
        <v>1</v>
      </c>
      <c r="H53" s="9">
        <v>3</v>
      </c>
      <c r="I53" s="9">
        <v>0.5</v>
      </c>
      <c r="J53" s="6">
        <v>5</v>
      </c>
      <c r="K53" t="inlineStr">
        <is>
          <t xml:space="preserve">1, 1.5, 2, 2.5, 3</t>
        </is>
      </c>
      <c r="L53" t="inlineStr">
        <is>
          <t xml:space="preserve">registry grid (not searched: rejected before optimization)</t>
        </is>
      </c>
    </row>
    <row r="54">
      <c r="A54" s="6">
        <v>6</v>
      </c>
      <c r="B54" t="inlineStr">
        <is>
          <t xml:space="preserve">mtf-trend-pullback</t>
        </is>
      </c>
      <c r="C54" t="inlineStr">
        <is>
          <t xml:space="preserve">maDays</t>
        </is>
      </c>
      <c r="D54" s="9">
        <v>20</v>
      </c>
      <c r="E54" s="9"/>
      <c r="F54" s="9">
        <v>20</v>
      </c>
      <c r="G54" s="9">
        <v>10</v>
      </c>
      <c r="H54" s="9">
        <v>50</v>
      </c>
      <c r="I54" s="9">
        <v>10</v>
      </c>
      <c r="J54" s="6">
        <v>5</v>
      </c>
      <c r="K54" t="inlineStr">
        <is>
          <t xml:space="preserve">10, 20, 30, 40, 50</t>
        </is>
      </c>
      <c r="L54" t="inlineStr">
        <is>
          <t xml:space="preserve">registry grid (not searched: rejected before optimization)</t>
        </is>
      </c>
    </row>
    <row r="55">
      <c r="A55" s="6">
        <v>6</v>
      </c>
      <c r="B55" t="inlineStr">
        <is>
          <t xml:space="preserve">mtf-trend-pullback</t>
        </is>
      </c>
      <c r="C55" t="inlineStr">
        <is>
          <t xml:space="preserve">entryLen</t>
        </is>
      </c>
      <c r="D55" s="9">
        <v>24</v>
      </c>
      <c r="E55" s="9"/>
      <c r="F55" s="9">
        <v>24</v>
      </c>
      <c r="G55" s="9">
        <v>12</v>
      </c>
      <c r="H55" s="9">
        <v>48</v>
      </c>
      <c r="I55" s="9">
        <v>12</v>
      </c>
      <c r="J55" s="6">
        <v>4</v>
      </c>
      <c r="K55" t="inlineStr">
        <is>
          <t xml:space="preserve">12, 24, 36, 48</t>
        </is>
      </c>
      <c r="L55" t="inlineStr">
        <is>
          <t xml:space="preserve">registry grid (not searched: rejected before optimization)</t>
        </is>
      </c>
    </row>
    <row r="56">
      <c r="A56" s="6">
        <v>6</v>
      </c>
      <c r="B56" t="inlineStr">
        <is>
          <t xml:space="preserve">mtf-trend-pullback</t>
        </is>
      </c>
      <c r="C56" t="inlineStr">
        <is>
          <t xml:space="preserve">trailMult</t>
        </is>
      </c>
      <c r="D56" s="9">
        <v>2</v>
      </c>
      <c r="E56" s="9"/>
      <c r="F56" s="9">
        <v>2</v>
      </c>
      <c r="G56" s="9">
        <v>1</v>
      </c>
      <c r="H56" s="9">
        <v>3</v>
      </c>
      <c r="I56" s="9">
        <v>0.5</v>
      </c>
      <c r="J56" s="6">
        <v>5</v>
      </c>
      <c r="K56" t="inlineStr">
        <is>
          <t xml:space="preserve">1, 1.5, 2, 2.5, 3</t>
        </is>
      </c>
      <c r="L56" t="inlineStr">
        <is>
          <t xml:space="preserve">registry grid (not searched: rejected before optimization)</t>
        </is>
      </c>
    </row>
    <row r="57">
      <c r="A57" s="6">
        <v>6</v>
      </c>
      <c r="B57" t="inlineStr">
        <is>
          <t xml:space="preserve">efficiency-regime-switch</t>
        </is>
      </c>
      <c r="C57" t="inlineStr">
        <is>
          <t xml:space="preserve">erLen</t>
        </is>
      </c>
      <c r="D57" s="9">
        <v>168</v>
      </c>
      <c r="E57" s="9"/>
      <c r="F57" s="9">
        <v>168</v>
      </c>
      <c r="G57" s="9">
        <v>72</v>
      </c>
      <c r="H57" s="9">
        <v>264</v>
      </c>
      <c r="I57" s="9">
        <v>48</v>
      </c>
      <c r="J57" s="6">
        <v>5</v>
      </c>
      <c r="K57" t="inlineStr">
        <is>
          <t xml:space="preserve">72, 120, 168, 216, 264</t>
        </is>
      </c>
      <c r="L57" t="inlineStr">
        <is>
          <t xml:space="preserve">registry grid (not searched: rejected before optimization)</t>
        </is>
      </c>
    </row>
    <row r="58">
      <c r="A58" s="6">
        <v>6</v>
      </c>
      <c r="B58" t="inlineStr">
        <is>
          <t xml:space="preserve">efficiency-regime-switch</t>
        </is>
      </c>
      <c r="C58" t="inlineStr">
        <is>
          <t xml:space="preserve">erThreshold</t>
        </is>
      </c>
      <c r="D58" s="9">
        <v>0.2</v>
      </c>
      <c r="E58" s="9"/>
      <c r="F58" s="9">
        <v>0.2</v>
      </c>
      <c r="G58" s="9">
        <v>0.1</v>
      </c>
      <c r="H58" s="9">
        <v>0.35</v>
      </c>
      <c r="I58" s="9">
        <v>0.05</v>
      </c>
      <c r="J58" s="6">
        <v>6</v>
      </c>
      <c r="K58" t="inlineStr">
        <is>
          <t xml:space="preserve">0.1, 0.15, 0.2, 0.25, 0.3, 0.35</t>
        </is>
      </c>
      <c r="L58" t="inlineStr">
        <is>
          <t xml:space="preserve">registry grid (not searched: rejected before optimization)</t>
        </is>
      </c>
    </row>
    <row r="59">
      <c r="A59" s="6">
        <v>6</v>
      </c>
      <c r="B59" t="inlineStr">
        <is>
          <t xml:space="preserve">efficiency-regime-switch</t>
        </is>
      </c>
      <c r="C59" t="inlineStr">
        <is>
          <t xml:space="preserve">atrMult</t>
        </is>
      </c>
      <c r="D59" s="9">
        <v>2.5</v>
      </c>
      <c r="E59" s="9"/>
      <c r="F59" s="9">
        <v>2.5</v>
      </c>
      <c r="G59" s="9">
        <v>1.5</v>
      </c>
      <c r="H59" s="9">
        <v>3.5</v>
      </c>
      <c r="I59" s="9">
        <v>0.5</v>
      </c>
      <c r="J59" s="6">
        <v>5</v>
      </c>
      <c r="K59" t="inlineStr">
        <is>
          <t xml:space="preserve">1.5, 2, 2.5, 3, 3.5</t>
        </is>
      </c>
      <c r="L59" t="inlineStr">
        <is>
          <t xml:space="preserve">registry grid (not searched: rejected before optimization)</t>
        </is>
      </c>
    </row>
    <row r="60">
      <c r="A60" s="6">
        <v>6</v>
      </c>
      <c r="B60" t="inlineStr">
        <is>
          <t xml:space="preserve">volume-conditioned-reversal</t>
        </is>
      </c>
      <c r="C60" t="inlineStr">
        <is>
          <t xml:space="preserve">extremeFrac</t>
        </is>
      </c>
      <c r="D60" s="9">
        <v>0.25</v>
      </c>
      <c r="E60" s="9"/>
      <c r="F60" s="9">
        <v>0.25</v>
      </c>
      <c r="G60" s="9">
        <v>0.1</v>
      </c>
      <c r="H60" s="9">
        <v>0.35</v>
      </c>
      <c r="I60" s="9">
        <v>0.05</v>
      </c>
      <c r="J60" s="6">
        <v>6</v>
      </c>
      <c r="K60" t="inlineStr">
        <is>
          <t xml:space="preserve">0.1, 0.15, 0.2, 0.25, 0.3, 0.35</t>
        </is>
      </c>
      <c r="L60" t="inlineStr">
        <is>
          <t xml:space="preserve">registry grid (not searched: rejected before optimization)</t>
        </is>
      </c>
    </row>
    <row r="61">
      <c r="A61" s="6">
        <v>6</v>
      </c>
      <c r="B61" t="inlineStr">
        <is>
          <t xml:space="preserve">volume-conditioned-reversal</t>
        </is>
      </c>
      <c r="C61" t="inlineStr">
        <is>
          <t xml:space="preserve">holdDays</t>
        </is>
      </c>
      <c r="D61" s="9">
        <v>1</v>
      </c>
      <c r="E61" s="9"/>
      <c r="F61" s="9">
        <v>1</v>
      </c>
      <c r="G61" s="9">
        <v>1</v>
      </c>
      <c r="H61" s="9">
        <v>3</v>
      </c>
      <c r="I61" s="9">
        <v>1</v>
      </c>
      <c r="J61" s="6">
        <v>3</v>
      </c>
      <c r="K61" t="inlineStr">
        <is>
          <t xml:space="preserve">1, 2, 3</t>
        </is>
      </c>
      <c r="L61" t="inlineStr">
        <is>
          <t xml:space="preserve">registry grid (not searched: rejected before optimization)</t>
        </is>
      </c>
    </row>
    <row r="62">
      <c r="A62" s="6">
        <v>6</v>
      </c>
      <c r="B62" t="inlineStr">
        <is>
          <t xml:space="preserve">volume-conditioned-reversal</t>
        </is>
      </c>
      <c r="C62" t="inlineStr">
        <is>
          <t xml:space="preserve">stopMult</t>
        </is>
      </c>
      <c r="D62" s="9">
        <v>1.5</v>
      </c>
      <c r="E62" s="9"/>
      <c r="F62" s="9">
        <v>1.5</v>
      </c>
      <c r="G62" s="9">
        <v>1</v>
      </c>
      <c r="H62" s="9">
        <v>2.5</v>
      </c>
      <c r="I62" s="9">
        <v>0.5</v>
      </c>
      <c r="J62" s="6">
        <v>4</v>
      </c>
      <c r="K62" t="inlineStr">
        <is>
          <t xml:space="preserve">1, 1.5, 2, 2.5</t>
        </is>
      </c>
      <c r="L62" t="inlineStr">
        <is>
          <t xml:space="preserve">registry grid (not searched: rejected before optimization)</t>
        </is>
      </c>
    </row>
    <row r="63">
      <c r="A63" s="6">
        <v>6</v>
      </c>
      <c r="B63" t="inlineStr">
        <is>
          <t xml:space="preserve">crowding-filtered-breakout</t>
        </is>
      </c>
      <c r="C63" t="inlineStr">
        <is>
          <t xml:space="preserve">channelDays</t>
        </is>
      </c>
      <c r="D63" s="9">
        <v>4</v>
      </c>
      <c r="E63" s="9"/>
      <c r="F63" s="9">
        <v>4</v>
      </c>
      <c r="G63" s="9">
        <v>2</v>
      </c>
      <c r="H63" s="9">
        <v>7</v>
      </c>
      <c r="I63" s="9">
        <v>1</v>
      </c>
      <c r="J63" s="6">
        <v>6</v>
      </c>
      <c r="K63" t="inlineStr">
        <is>
          <t xml:space="preserve">2, 3, 4, 5, 6, 7</t>
        </is>
      </c>
      <c r="L63" t="inlineStr">
        <is>
          <t xml:space="preserve">registry grid (not searched: rejected before optimization)</t>
        </is>
      </c>
    </row>
    <row r="64">
      <c r="A64" s="6">
        <v>6</v>
      </c>
      <c r="B64" t="inlineStr">
        <is>
          <t xml:space="preserve">crowding-filtered-breakout</t>
        </is>
      </c>
      <c r="C64" t="inlineStr">
        <is>
          <t xml:space="preserve">maxRank</t>
        </is>
      </c>
      <c r="D64" s="9">
        <v>0.8</v>
      </c>
      <c r="E64" s="9"/>
      <c r="F64" s="9">
        <v>0.8</v>
      </c>
      <c r="G64" s="9">
        <v>0.6</v>
      </c>
      <c r="H64" s="9">
        <v>1</v>
      </c>
      <c r="I64" s="9">
        <v>0.1</v>
      </c>
      <c r="J64" s="6">
        <v>5</v>
      </c>
      <c r="K64" t="inlineStr">
        <is>
          <t xml:space="preserve">0.6, 0.7, 0.8, 0.9, 1</t>
        </is>
      </c>
      <c r="L64" t="inlineStr">
        <is>
          <t xml:space="preserve">registry grid (not searched: rejected before optimization)</t>
        </is>
      </c>
    </row>
    <row r="65">
      <c r="A65" s="6">
        <v>6</v>
      </c>
      <c r="B65" t="inlineStr">
        <is>
          <t xml:space="preserve">crowding-filtered-breakout</t>
        </is>
      </c>
      <c r="C65" t="inlineStr">
        <is>
          <t xml:space="preserve">trailMult</t>
        </is>
      </c>
      <c r="D65" s="9">
        <v>2</v>
      </c>
      <c r="E65" s="9"/>
      <c r="F65" s="9">
        <v>2</v>
      </c>
      <c r="G65" s="9">
        <v>1</v>
      </c>
      <c r="H65" s="9">
        <v>3</v>
      </c>
      <c r="I65" s="9">
        <v>0.5</v>
      </c>
      <c r="J65" s="6">
        <v>5</v>
      </c>
      <c r="K65" t="inlineStr">
        <is>
          <t xml:space="preserve">1, 1.5, 2, 2.5, 3</t>
        </is>
      </c>
      <c r="L65" t="inlineStr">
        <is>
          <t xml:space="preserve">registry grid (not searched: rejected before optimization)</t>
        </is>
      </c>
    </row>
    <row r="66">
      <c r="A66" s="6">
        <v>7</v>
      </c>
      <c r="B66" t="inlineStr">
        <is>
          <t xml:space="preserve">funding-tilt</t>
        </is>
      </c>
      <c r="C66" t="inlineStr">
        <is>
          <t xml:space="preserve">threshold</t>
        </is>
      </c>
      <c r="D66" s="9">
        <v>0.4</v>
      </c>
      <c r="E66" s="9"/>
      <c r="F66" s="9">
        <v>0.4</v>
      </c>
      <c r="G66" s="9">
        <v>0.3</v>
      </c>
      <c r="H66" s="9">
        <v>0.5</v>
      </c>
      <c r="I66" s="9">
        <v>0.05</v>
      </c>
      <c r="J66" s="6">
        <v>5</v>
      </c>
      <c r="K66" t="inlineStr">
        <is>
          <t xml:space="preserve">0.3, 0.35, 0.4, 0.45, 0.5</t>
        </is>
      </c>
      <c r="L66" t="inlineStr">
        <is>
          <t xml:space="preserve">registry grid (not searched: rejected before optimization)</t>
        </is>
      </c>
    </row>
    <row r="67">
      <c r="A67" s="6">
        <v>7</v>
      </c>
      <c r="B67" t="inlineStr">
        <is>
          <t xml:space="preserve">funding-tilt</t>
        </is>
      </c>
      <c r="C67" t="inlineStr">
        <is>
          <t xml:space="preserve">holdBars</t>
        </is>
      </c>
      <c r="D67" s="9">
        <v>96</v>
      </c>
      <c r="E67" s="9"/>
      <c r="F67" s="9">
        <v>96</v>
      </c>
      <c r="G67" s="9">
        <v>48</v>
      </c>
      <c r="H67" s="9">
        <v>144</v>
      </c>
      <c r="I67" s="9">
        <v>24</v>
      </c>
      <c r="J67" s="6">
        <v>5</v>
      </c>
      <c r="K67" t="inlineStr">
        <is>
          <t xml:space="preserve">48, 72, 96, 120, 144</t>
        </is>
      </c>
      <c r="L67" t="inlineStr">
        <is>
          <t xml:space="preserve">registry grid (not searched: rejected before optimization)</t>
        </is>
      </c>
    </row>
    <row r="68">
      <c r="A68" s="6">
        <v>7</v>
      </c>
      <c r="B68" t="inlineStr">
        <is>
          <t xml:space="preserve">funding-tilt</t>
        </is>
      </c>
      <c r="C68" t="inlineStr">
        <is>
          <t xml:space="preserve">stopMult</t>
        </is>
      </c>
      <c r="D68" s="9">
        <v>1.5</v>
      </c>
      <c r="E68" s="9"/>
      <c r="F68" s="9">
        <v>1.5</v>
      </c>
      <c r="G68" s="9">
        <v>1</v>
      </c>
      <c r="H68" s="9">
        <v>2.5</v>
      </c>
      <c r="I68" s="9">
        <v>0.5</v>
      </c>
      <c r="J68" s="6">
        <v>4</v>
      </c>
      <c r="K68" t="inlineStr">
        <is>
          <t xml:space="preserve">1, 1.5, 2, 2.5</t>
        </is>
      </c>
      <c r="L68" t="inlineStr">
        <is>
          <t xml:space="preserve">registry grid (not searched: rejected before optimization)</t>
        </is>
      </c>
    </row>
    <row r="69">
      <c r="A69" s="6">
        <v>7</v>
      </c>
      <c r="B69" t="inlineStr">
        <is>
          <t xml:space="preserve">ema-cross-control</t>
        </is>
      </c>
      <c r="C69" t="inlineStr">
        <is>
          <t xml:space="preserve">holdBars</t>
        </is>
      </c>
      <c r="D69" s="9">
        <v>96</v>
      </c>
      <c r="E69" s="9"/>
      <c r="F69" s="9">
        <v>96</v>
      </c>
      <c r="G69" s="9">
        <v>48</v>
      </c>
      <c r="H69" s="9">
        <v>144</v>
      </c>
      <c r="I69" s="9">
        <v>24</v>
      </c>
      <c r="J69" s="6">
        <v>5</v>
      </c>
      <c r="K69" t="inlineStr">
        <is>
          <t xml:space="preserve">48, 72, 96, 120, 144</t>
        </is>
      </c>
      <c r="L69" t="inlineStr">
        <is>
          <t xml:space="preserve">registry grid (not searched: rejected before optimization)</t>
        </is>
      </c>
    </row>
    <row r="70">
      <c r="A70" s="6">
        <v>7</v>
      </c>
      <c r="B70" t="inlineStr">
        <is>
          <t xml:space="preserve">ema-cross-control</t>
        </is>
      </c>
      <c r="C70" t="inlineStr">
        <is>
          <t xml:space="preserve">stopMult</t>
        </is>
      </c>
      <c r="D70" s="9">
        <v>1.5</v>
      </c>
      <c r="E70" s="9"/>
      <c r="F70" s="9">
        <v>1.5</v>
      </c>
      <c r="G70" s="9">
        <v>1</v>
      </c>
      <c r="H70" s="9">
        <v>2.5</v>
      </c>
      <c r="I70" s="9">
        <v>0.5</v>
      </c>
      <c r="J70" s="6">
        <v>4</v>
      </c>
      <c r="K70" t="inlineStr">
        <is>
          <t xml:space="preserve">1, 1.5, 2, 2.5</t>
        </is>
      </c>
      <c r="L70" t="inlineStr">
        <is>
          <t xml:space="preserve">registry grid (not searched: rejected before optimization)</t>
        </is>
      </c>
    </row>
    <row r="71">
      <c r="A71" s="6">
        <v>7</v>
      </c>
      <c r="B71" t="inlineStr">
        <is>
          <t xml:space="preserve">funding-carry-tilt</t>
        </is>
      </c>
      <c r="C71" t="inlineStr">
        <is>
          <t xml:space="preserve">band</t>
        </is>
      </c>
      <c r="D71" s="9">
        <v>0.3</v>
      </c>
      <c r="E71" s="9"/>
      <c r="F71" s="9">
        <v>0.3</v>
      </c>
      <c r="G71" s="9">
        <v>0</v>
      </c>
      <c r="H71" s="9">
        <v>0.4</v>
      </c>
      <c r="I71" s="9">
        <v>0.1</v>
      </c>
      <c r="J71" s="6">
        <v>5</v>
      </c>
      <c r="K71" t="inlineStr">
        <is>
          <t xml:space="preserve">0, 0.1, 0.2, 0.3, 0.4</t>
        </is>
      </c>
      <c r="L71" t="inlineStr">
        <is>
          <t xml:space="preserve">registry grid (not searched: rejected before optimization)</t>
        </is>
      </c>
    </row>
    <row r="72">
      <c r="A72" s="6">
        <v>7</v>
      </c>
      <c r="B72" t="inlineStr">
        <is>
          <t xml:space="preserve">funding-carry-tilt</t>
        </is>
      </c>
      <c r="C72" t="inlineStr">
        <is>
          <t xml:space="preserve">stopMult</t>
        </is>
      </c>
      <c r="D72" s="9">
        <v>2</v>
      </c>
      <c r="E72" s="9"/>
      <c r="F72" s="9">
        <v>2</v>
      </c>
      <c r="G72" s="9">
        <v>1</v>
      </c>
      <c r="H72" s="9">
        <v>3</v>
      </c>
      <c r="I72" s="9">
        <v>0.5</v>
      </c>
      <c r="J72" s="6">
        <v>5</v>
      </c>
      <c r="K72" t="inlineStr">
        <is>
          <t xml:space="preserve">1, 1.5, 2, 2.5, 3</t>
        </is>
      </c>
      <c r="L72" t="inlineStr">
        <is>
          <t xml:space="preserve">registry grid (not searched: rejected before optimization)</t>
        </is>
      </c>
    </row>
    <row r="73">
      <c r="A73" s="6">
        <v>8</v>
      </c>
      <c r="B73" t="inlineStr">
        <is>
          <t xml:space="preserve">funding-fade-wide</t>
        </is>
      </c>
      <c r="C73" t="inlineStr">
        <is>
          <t xml:space="preserve">quantile</t>
        </is>
      </c>
      <c r="D73" s="9">
        <v>0.3</v>
      </c>
      <c r="E73" s="9">
        <v>0.3</v>
      </c>
      <c r="F73" s="9">
        <v>0.3</v>
      </c>
      <c r="G73" s="9">
        <v>0.2</v>
      </c>
      <c r="H73" s="9">
        <v>0.4</v>
      </c>
      <c r="I73" s="9">
        <v>0.05</v>
      </c>
      <c r="J73" s="6">
        <v>5</v>
      </c>
      <c r="K73" t="inlineStr">
        <is>
          <t xml:space="preserve">0.2, 0.25, 0.3, 0.35, 0.4</t>
        </is>
      </c>
      <c r="L73" t="inlineStr">
        <is>
          <t xml:space="preserve">searched in this cycle</t>
        </is>
      </c>
    </row>
    <row r="74">
      <c r="A74" s="6">
        <v>8</v>
      </c>
      <c r="B74" t="inlineStr">
        <is>
          <t xml:space="preserve">funding-fade-wide</t>
        </is>
      </c>
      <c r="C74" t="inlineStr">
        <is>
          <t xml:space="preserve">holdBars</t>
        </is>
      </c>
      <c r="D74" s="9">
        <v>96</v>
      </c>
      <c r="E74" s="9">
        <v>96</v>
      </c>
      <c r="F74" s="9">
        <v>96</v>
      </c>
      <c r="G74" s="9">
        <v>48</v>
      </c>
      <c r="H74" s="9">
        <v>144</v>
      </c>
      <c r="I74" s="9">
        <v>24</v>
      </c>
      <c r="J74" s="6">
        <v>5</v>
      </c>
      <c r="K74" t="inlineStr">
        <is>
          <t xml:space="preserve">48, 72, 96, 120, 144</t>
        </is>
      </c>
      <c r="L74" t="inlineStr">
        <is>
          <t xml:space="preserve">searched in this cycle</t>
        </is>
      </c>
    </row>
    <row r="75">
      <c r="A75" s="6">
        <v>8</v>
      </c>
      <c r="B75" t="inlineStr">
        <is>
          <t xml:space="preserve">funding-fade-wide</t>
        </is>
      </c>
      <c r="C75" t="inlineStr">
        <is>
          <t xml:space="preserve">stopMult</t>
        </is>
      </c>
      <c r="D75" s="9">
        <v>1.5</v>
      </c>
      <c r="E75" s="9">
        <v>1.5</v>
      </c>
      <c r="F75" s="9">
        <v>1.5</v>
      </c>
      <c r="G75" s="9">
        <v>1</v>
      </c>
      <c r="H75" s="9">
        <v>2.5</v>
      </c>
      <c r="I75" s="9">
        <v>0.5</v>
      </c>
      <c r="J75" s="6">
        <v>4</v>
      </c>
      <c r="K75" t="inlineStr">
        <is>
          <t xml:space="preserve">1, 1.5, 2, 2.5</t>
        </is>
      </c>
      <c r="L75" t="inlineStr">
        <is>
          <t xml:space="preserve">searched in this cycle</t>
        </is>
      </c>
    </row>
    <row r="76">
      <c r="A76" s="6">
        <v>9</v>
      </c>
      <c r="B76" t="inlineStr">
        <is>
          <t xml:space="preserve">cipher-b-dots</t>
        </is>
      </c>
      <c r="C76" t="inlineStr">
        <is>
          <t xml:space="preserve">tfHours</t>
        </is>
      </c>
      <c r="D76" s="9">
        <v>4</v>
      </c>
      <c r="E76" s="9"/>
      <c r="F76" s="9">
        <v>4</v>
      </c>
      <c r="G76" s="9">
        <v>2</v>
      </c>
      <c r="H76" s="9">
        <v>8</v>
      </c>
      <c r="I76" s="9">
        <v>2</v>
      </c>
      <c r="J76" s="6">
        <v>4</v>
      </c>
      <c r="K76" t="inlineStr">
        <is>
          <t xml:space="preserve">2, 4, 6, 8</t>
        </is>
      </c>
      <c r="L76" t="inlineStr">
        <is>
          <t xml:space="preserve">registry grid (not searched: rejected before optimization)</t>
        </is>
      </c>
    </row>
    <row r="77">
      <c r="A77" s="6">
        <v>9</v>
      </c>
      <c r="B77" t="inlineStr">
        <is>
          <t xml:space="preserve">cipher-b-dots</t>
        </is>
      </c>
      <c r="C77" t="inlineStr">
        <is>
          <t xml:space="preserve">level</t>
        </is>
      </c>
      <c r="D77" s="9">
        <v>53</v>
      </c>
      <c r="E77" s="9"/>
      <c r="F77" s="9">
        <v>53</v>
      </c>
      <c r="G77" s="9">
        <v>41</v>
      </c>
      <c r="H77" s="9">
        <v>65</v>
      </c>
      <c r="I77" s="9">
        <v>6</v>
      </c>
      <c r="J77" s="6">
        <v>5</v>
      </c>
      <c r="K77" t="inlineStr">
        <is>
          <t xml:space="preserve">41, 47, 53, 59, 65</t>
        </is>
      </c>
      <c r="L77" t="inlineStr">
        <is>
          <t xml:space="preserve">registry grid (not searched: rejected before optimization)</t>
        </is>
      </c>
    </row>
    <row r="78">
      <c r="A78" s="6">
        <v>9</v>
      </c>
      <c r="B78" t="inlineStr">
        <is>
          <t xml:space="preserve">cipher-b-dots</t>
        </is>
      </c>
      <c r="C78" t="inlineStr">
        <is>
          <t xml:space="preserve">atrMult</t>
        </is>
      </c>
      <c r="D78" s="9">
        <v>2.5</v>
      </c>
      <c r="E78" s="9"/>
      <c r="F78" s="9">
        <v>2.5</v>
      </c>
      <c r="G78" s="9">
        <v>1.5</v>
      </c>
      <c r="H78" s="9">
        <v>3.5</v>
      </c>
      <c r="I78" s="9">
        <v>0.5</v>
      </c>
      <c r="J78" s="6">
        <v>5</v>
      </c>
      <c r="K78" t="inlineStr">
        <is>
          <t xml:space="preserve">1.5, 2, 2.5, 3, 3.5</t>
        </is>
      </c>
      <c r="L78" t="inlineStr">
        <is>
          <t xml:space="preserve">registry grid (not searched: rejected before optimization)</t>
        </is>
      </c>
    </row>
    <row r="79">
      <c r="A79" s="6">
        <v>9</v>
      </c>
      <c r="B79" t="inlineStr">
        <is>
          <t xml:space="preserve">cipher-b-sommi-flag</t>
        </is>
      </c>
      <c r="C79" t="inlineStr">
        <is>
          <t xml:space="preserve">tfHours</t>
        </is>
      </c>
      <c r="D79" s="9">
        <v>2</v>
      </c>
      <c r="E79" s="9"/>
      <c r="F79" s="9">
        <v>2</v>
      </c>
      <c r="G79" s="9">
        <v>2</v>
      </c>
      <c r="H79" s="9">
        <v>8</v>
      </c>
      <c r="I79" s="9">
        <v>2</v>
      </c>
      <c r="J79" s="6">
        <v>4</v>
      </c>
      <c r="K79" t="inlineStr">
        <is>
          <t xml:space="preserve">2, 4, 6, 8</t>
        </is>
      </c>
      <c r="L79" t="inlineStr">
        <is>
          <t xml:space="preserve">registry grid (not searched: rejected before optimization)</t>
        </is>
      </c>
    </row>
    <row r="80">
      <c r="A80" s="6">
        <v>9</v>
      </c>
      <c r="B80" t="inlineStr">
        <is>
          <t xml:space="preserve">cipher-b-sommi-flag</t>
        </is>
      </c>
      <c r="C80" t="inlineStr">
        <is>
          <t xml:space="preserve">htfHours</t>
        </is>
      </c>
      <c r="D80" s="9">
        <v>12</v>
      </c>
      <c r="E80" s="9"/>
      <c r="F80" s="9">
        <v>12</v>
      </c>
      <c r="G80" s="9">
        <v>12</v>
      </c>
      <c r="H80" s="9">
        <v>24</v>
      </c>
      <c r="I80" s="9">
        <v>12</v>
      </c>
      <c r="J80" s="6">
        <v>2</v>
      </c>
      <c r="K80" t="inlineStr">
        <is>
          <t xml:space="preserve">12, 24</t>
        </is>
      </c>
      <c r="L80" t="inlineStr">
        <is>
          <t xml:space="preserve">registry grid (not searched: rejected before optimization)</t>
        </is>
      </c>
    </row>
    <row r="81">
      <c r="A81" s="6">
        <v>9</v>
      </c>
      <c r="B81" t="inlineStr">
        <is>
          <t xml:space="preserve">cipher-b-sommi-flag</t>
        </is>
      </c>
      <c r="C81" t="inlineStr">
        <is>
          <t xml:space="preserve">atrMult</t>
        </is>
      </c>
      <c r="D81" s="9">
        <v>2.5</v>
      </c>
      <c r="E81" s="9"/>
      <c r="F81" s="9">
        <v>2.5</v>
      </c>
      <c r="G81" s="9">
        <v>1.5</v>
      </c>
      <c r="H81" s="9">
        <v>3.5</v>
      </c>
      <c r="I81" s="9">
        <v>0.5</v>
      </c>
      <c r="J81" s="6">
        <v>5</v>
      </c>
      <c r="K81" t="inlineStr">
        <is>
          <t xml:space="preserve">1.5, 2, 2.5, 3, 3.5</t>
        </is>
      </c>
      <c r="L81" t="inlineStr">
        <is>
          <t xml:space="preserve">registry grid (not searched: rejected before optimization)</t>
        </is>
      </c>
    </row>
    <row r="82">
      <c r="A82" s="6">
        <v>9</v>
      </c>
      <c r="B82" t="inlineStr">
        <is>
          <t xml:space="preserve">cipher-b-divergence</t>
        </is>
      </c>
      <c r="C82" t="inlineStr">
        <is>
          <t xml:space="preserve">tfHours</t>
        </is>
      </c>
      <c r="D82" s="9">
        <v>2</v>
      </c>
      <c r="E82" s="9"/>
      <c r="F82" s="9">
        <v>2</v>
      </c>
      <c r="G82" s="9">
        <v>2</v>
      </c>
      <c r="H82" s="9">
        <v>8</v>
      </c>
      <c r="I82" s="9">
        <v>2</v>
      </c>
      <c r="J82" s="6">
        <v>4</v>
      </c>
      <c r="K82" t="inlineStr">
        <is>
          <t xml:space="preserve">2, 4, 6, 8</t>
        </is>
      </c>
      <c r="L82" t="inlineStr">
        <is>
          <t xml:space="preserve">registry grid (not searched: rejected before optimization)</t>
        </is>
      </c>
    </row>
    <row r="83">
      <c r="A83" s="6">
        <v>9</v>
      </c>
      <c r="B83" t="inlineStr">
        <is>
          <t xml:space="preserve">cipher-b-divergence</t>
        </is>
      </c>
      <c r="C83" t="inlineStr">
        <is>
          <t xml:space="preserve">limitScale</t>
        </is>
      </c>
      <c r="D83" s="9">
        <v>1</v>
      </c>
      <c r="E83" s="9"/>
      <c r="F83" s="9">
        <v>1</v>
      </c>
      <c r="G83" s="9">
        <v>0.5</v>
      </c>
      <c r="H83" s="9">
        <v>1.25</v>
      </c>
      <c r="I83" s="9">
        <v>0.25</v>
      </c>
      <c r="J83" s="6">
        <v>4</v>
      </c>
      <c r="K83" t="inlineStr">
        <is>
          <t xml:space="preserve">0.5, 0.75, 1, 1.25</t>
        </is>
      </c>
      <c r="L83" t="inlineStr">
        <is>
          <t xml:space="preserve">registry grid (not searched: rejected before optimization)</t>
        </is>
      </c>
    </row>
    <row r="84">
      <c r="A84" s="6">
        <v>9</v>
      </c>
      <c r="B84" t="inlineStr">
        <is>
          <t xml:space="preserve">cipher-b-divergence</t>
        </is>
      </c>
      <c r="C84" t="inlineStr">
        <is>
          <t xml:space="preserve">atrMult</t>
        </is>
      </c>
      <c r="D84" s="9">
        <v>2</v>
      </c>
      <c r="E84" s="9"/>
      <c r="F84" s="9">
        <v>2</v>
      </c>
      <c r="G84" s="9">
        <v>1</v>
      </c>
      <c r="H84" s="9">
        <v>3</v>
      </c>
      <c r="I84" s="9">
        <v>0.5</v>
      </c>
      <c r="J84" s="6">
        <v>5</v>
      </c>
      <c r="K84" t="inlineStr">
        <is>
          <t xml:space="preserve">1, 1.5, 2, 2.5, 3</t>
        </is>
      </c>
      <c r="L84" t="inlineStr">
        <is>
          <t xml:space="preserve">registry grid (not searched: rejected before optimization)</t>
        </is>
      </c>
    </row>
    <row r="85">
      <c r="A85" s="6">
        <v>9</v>
      </c>
      <c r="B85" t="inlineStr">
        <is>
          <t xml:space="preserve">cipher-a-ribbon</t>
        </is>
      </c>
      <c r="C85" t="inlineStr">
        <is>
          <t xml:space="preserve">tfHours</t>
        </is>
      </c>
      <c r="D85" s="9">
        <v>4</v>
      </c>
      <c r="E85" s="9"/>
      <c r="F85" s="9">
        <v>4</v>
      </c>
      <c r="G85" s="9">
        <v>2</v>
      </c>
      <c r="H85" s="9">
        <v>8</v>
      </c>
      <c r="I85" s="9">
        <v>2</v>
      </c>
      <c r="J85" s="6">
        <v>4</v>
      </c>
      <c r="K85" t="inlineStr">
        <is>
          <t xml:space="preserve">2, 4, 6, 8</t>
        </is>
      </c>
      <c r="L85" t="inlineStr">
        <is>
          <t xml:space="preserve">registry grid (not searched: rejected before optimization)</t>
        </is>
      </c>
    </row>
    <row r="86">
      <c r="A86" s="6">
        <v>9</v>
      </c>
      <c r="B86" t="inlineStr">
        <is>
          <t xml:space="preserve">cipher-a-ribbon</t>
        </is>
      </c>
      <c r="C86" t="inlineStr">
        <is>
          <t xml:space="preserve">atrMult</t>
        </is>
      </c>
      <c r="D86" s="9">
        <v>2.5</v>
      </c>
      <c r="E86" s="9"/>
      <c r="F86" s="9">
        <v>2.5</v>
      </c>
      <c r="G86" s="9">
        <v>1.5</v>
      </c>
      <c r="H86" s="9">
        <v>3.5</v>
      </c>
      <c r="I86" s="9">
        <v>0.5</v>
      </c>
      <c r="J86" s="6">
        <v>5</v>
      </c>
      <c r="K86" t="inlineStr">
        <is>
          <t xml:space="preserve">1.5, 2, 2.5, 3, 3.5</t>
        </is>
      </c>
      <c r="L86" t="inlineStr">
        <is>
          <t xml:space="preserve">registry grid (not searched: rejected before optimization)</t>
        </is>
      </c>
    </row>
    <row r="87">
      <c r="A87" s="6">
        <v>9</v>
      </c>
      <c r="B87" t="inlineStr">
        <is>
          <t xml:space="preserve">cipher-a-ribbon</t>
        </is>
      </c>
      <c r="C87" t="inlineStr">
        <is>
          <t xml:space="preserve">diamondExit</t>
        </is>
      </c>
      <c r="D87" s="9">
        <v>1</v>
      </c>
      <c r="E87" s="9"/>
      <c r="F87" s="9">
        <v>1</v>
      </c>
      <c r="G87" s="9">
        <v>0</v>
      </c>
      <c r="H87" s="9">
        <v>1</v>
      </c>
      <c r="I87" s="9">
        <v>1</v>
      </c>
      <c r="J87" s="6">
        <v>2</v>
      </c>
      <c r="K87" t="inlineStr">
        <is>
          <t xml:space="preserve">0, 1</t>
        </is>
      </c>
      <c r="L87" t="inlineStr">
        <is>
          <t xml:space="preserve">registry grid (not searched: rejected before optimization)</t>
        </is>
      </c>
    </row>
    <row r="88">
      <c r="A88" s="6">
        <v>9</v>
      </c>
      <c r="B88" t="inlineStr">
        <is>
          <t xml:space="preserve">cipher-b-confluence</t>
        </is>
      </c>
      <c r="C88" t="inlineStr">
        <is>
          <t xml:space="preserve">tfHours</t>
        </is>
      </c>
      <c r="D88" s="9">
        <v>4</v>
      </c>
      <c r="E88" s="9"/>
      <c r="F88" s="9">
        <v>4</v>
      </c>
      <c r="G88" s="9">
        <v>2</v>
      </c>
      <c r="H88" s="9">
        <v>8</v>
      </c>
      <c r="I88" s="9">
        <v>2</v>
      </c>
      <c r="J88" s="6">
        <v>4</v>
      </c>
      <c r="K88" t="inlineStr">
        <is>
          <t xml:space="preserve">2, 4, 6, 8</t>
        </is>
      </c>
      <c r="L88" t="inlineStr">
        <is>
          <t xml:space="preserve">registry grid (not searched: rejected before optimization)</t>
        </is>
      </c>
    </row>
    <row r="89">
      <c r="A89" s="6">
        <v>9</v>
      </c>
      <c r="B89" t="inlineStr">
        <is>
          <t xml:space="preserve">cipher-b-confluence</t>
        </is>
      </c>
      <c r="C89" t="inlineStr">
        <is>
          <t xml:space="preserve">level</t>
        </is>
      </c>
      <c r="D89" s="9">
        <v>53</v>
      </c>
      <c r="E89" s="9"/>
      <c r="F89" s="9">
        <v>53</v>
      </c>
      <c r="G89" s="9">
        <v>41</v>
      </c>
      <c r="H89" s="9">
        <v>65</v>
      </c>
      <c r="I89" s="9">
        <v>6</v>
      </c>
      <c r="J89" s="6">
        <v>5</v>
      </c>
      <c r="K89" t="inlineStr">
        <is>
          <t xml:space="preserve">41, 47, 53, 59, 65</t>
        </is>
      </c>
      <c r="L89" t="inlineStr">
        <is>
          <t xml:space="preserve">registry grid (not searched: rejected before optimization)</t>
        </is>
      </c>
    </row>
    <row r="90">
      <c r="A90" s="6">
        <v>9</v>
      </c>
      <c r="B90" t="inlineStr">
        <is>
          <t xml:space="preserve">cipher-b-confluence</t>
        </is>
      </c>
      <c r="C90" t="inlineStr">
        <is>
          <t xml:space="preserve">atrMult</t>
        </is>
      </c>
      <c r="D90" s="9">
        <v>2.5</v>
      </c>
      <c r="E90" s="9"/>
      <c r="F90" s="9">
        <v>2.5</v>
      </c>
      <c r="G90" s="9">
        <v>1.5</v>
      </c>
      <c r="H90" s="9">
        <v>3.5</v>
      </c>
      <c r="I90" s="9">
        <v>0.5</v>
      </c>
      <c r="J90" s="6">
        <v>5</v>
      </c>
      <c r="K90" t="inlineStr">
        <is>
          <t xml:space="preserve">1.5, 2, 2.5, 3, 3.5</t>
        </is>
      </c>
      <c r="L90" t="inlineStr">
        <is>
          <t xml:space="preserve">registry grid (not searched: rejected before optimization)</t>
        </is>
      </c>
    </row>
    <row r="91">
      <c r="A91" s="6">
        <v>10</v>
      </c>
      <c r="B91" t="inlineStr">
        <is>
          <t xml:space="preserve">supertrend</t>
        </is>
      </c>
      <c r="C91" t="inlineStr">
        <is>
          <t xml:space="preserve">tfHours</t>
        </is>
      </c>
      <c r="D91" s="9">
        <v>4</v>
      </c>
      <c r="E91" s="9"/>
      <c r="F91" s="9">
        <v>4</v>
      </c>
      <c r="G91" s="9">
        <v>2</v>
      </c>
      <c r="H91" s="9">
        <v>8</v>
      </c>
      <c r="I91" s="9">
        <v>2</v>
      </c>
      <c r="J91" s="6">
        <v>4</v>
      </c>
      <c r="K91" t="inlineStr">
        <is>
          <t xml:space="preserve">2, 4, 6, 8</t>
        </is>
      </c>
      <c r="L91" t="inlineStr">
        <is>
          <t xml:space="preserve">registry grid (not searched: rejected before optimization)</t>
        </is>
      </c>
    </row>
    <row r="92">
      <c r="A92" s="6">
        <v>10</v>
      </c>
      <c r="B92" t="inlineStr">
        <is>
          <t xml:space="preserve">supertrend</t>
        </is>
      </c>
      <c r="C92" t="inlineStr">
        <is>
          <t xml:space="preserve">atrLen</t>
        </is>
      </c>
      <c r="D92" s="9">
        <v>10</v>
      </c>
      <c r="E92" s="9"/>
      <c r="F92" s="9">
        <v>10</v>
      </c>
      <c r="G92" s="9">
        <v>7</v>
      </c>
      <c r="H92" s="9">
        <v>13</v>
      </c>
      <c r="I92" s="9">
        <v>3</v>
      </c>
      <c r="J92" s="6">
        <v>3</v>
      </c>
      <c r="K92" t="inlineStr">
        <is>
          <t xml:space="preserve">7, 10, 13</t>
        </is>
      </c>
      <c r="L92" t="inlineStr">
        <is>
          <t xml:space="preserve">registry grid (not searched: rejected before optimization)</t>
        </is>
      </c>
    </row>
    <row r="93">
      <c r="A93" s="6">
        <v>10</v>
      </c>
      <c r="B93" t="inlineStr">
        <is>
          <t xml:space="preserve">supertrend</t>
        </is>
      </c>
      <c r="C93" t="inlineStr">
        <is>
          <t xml:space="preserve">mult</t>
        </is>
      </c>
      <c r="D93" s="9">
        <v>3</v>
      </c>
      <c r="E93" s="9"/>
      <c r="F93" s="9">
        <v>3</v>
      </c>
      <c r="G93" s="9">
        <v>1.5</v>
      </c>
      <c r="H93" s="9">
        <v>4</v>
      </c>
      <c r="I93" s="9">
        <v>0.5</v>
      </c>
      <c r="J93" s="6">
        <v>6</v>
      </c>
      <c r="K93" t="inlineStr">
        <is>
          <t xml:space="preserve">1.5, 2, 2.5, 3, 3.5, 4</t>
        </is>
      </c>
      <c r="L93" t="inlineStr">
        <is>
          <t xml:space="preserve">registry grid (not searched: rejected before optimization)</t>
        </is>
      </c>
    </row>
    <row r="94">
      <c r="A94" s="6">
        <v>10</v>
      </c>
      <c r="B94" t="inlineStr">
        <is>
          <t xml:space="preserve">squeeze-momentum</t>
        </is>
      </c>
      <c r="C94" t="inlineStr">
        <is>
          <t xml:space="preserve">tfHours</t>
        </is>
      </c>
      <c r="D94" s="9">
        <v>4</v>
      </c>
      <c r="E94" s="9"/>
      <c r="F94" s="9">
        <v>4</v>
      </c>
      <c r="G94" s="9">
        <v>2</v>
      </c>
      <c r="H94" s="9">
        <v>8</v>
      </c>
      <c r="I94" s="9">
        <v>2</v>
      </c>
      <c r="J94" s="6">
        <v>4</v>
      </c>
      <c r="K94" t="inlineStr">
        <is>
          <t xml:space="preserve">2, 4, 6, 8</t>
        </is>
      </c>
      <c r="L94" t="inlineStr">
        <is>
          <t xml:space="preserve">registry grid (not searched: rejected before optimization)</t>
        </is>
      </c>
    </row>
    <row r="95">
      <c r="A95" s="6">
        <v>10</v>
      </c>
      <c r="B95" t="inlineStr">
        <is>
          <t xml:space="preserve">squeeze-momentum</t>
        </is>
      </c>
      <c r="C95" t="inlineStr">
        <is>
          <t xml:space="preserve">kcMult</t>
        </is>
      </c>
      <c r="D95" s="9">
        <v>1.5</v>
      </c>
      <c r="E95" s="9"/>
      <c r="F95" s="9">
        <v>1.5</v>
      </c>
      <c r="G95" s="9">
        <v>1</v>
      </c>
      <c r="H95" s="9">
        <v>2</v>
      </c>
      <c r="I95" s="9">
        <v>0.25</v>
      </c>
      <c r="J95" s="6">
        <v>5</v>
      </c>
      <c r="K95" t="inlineStr">
        <is>
          <t xml:space="preserve">1, 1.25, 1.5, 1.75, 2</t>
        </is>
      </c>
      <c r="L95" t="inlineStr">
        <is>
          <t xml:space="preserve">registry grid (not searched: rejected before optimization)</t>
        </is>
      </c>
    </row>
    <row r="96">
      <c r="A96" s="6">
        <v>10</v>
      </c>
      <c r="B96" t="inlineStr">
        <is>
          <t xml:space="preserve">squeeze-momentum</t>
        </is>
      </c>
      <c r="C96" t="inlineStr">
        <is>
          <t xml:space="preserve">atrMult</t>
        </is>
      </c>
      <c r="D96" s="9">
        <v>2.5</v>
      </c>
      <c r="E96" s="9"/>
      <c r="F96" s="9">
        <v>2.5</v>
      </c>
      <c r="G96" s="9">
        <v>1.5</v>
      </c>
      <c r="H96" s="9">
        <v>3.5</v>
      </c>
      <c r="I96" s="9">
        <v>0.5</v>
      </c>
      <c r="J96" s="6">
        <v>5</v>
      </c>
      <c r="K96" t="inlineStr">
        <is>
          <t xml:space="preserve">1.5, 2, 2.5, 3, 3.5</t>
        </is>
      </c>
      <c r="L96" t="inlineStr">
        <is>
          <t xml:space="preserve">registry grid (not searched: rejected before optimization)</t>
        </is>
      </c>
    </row>
    <row r="97">
      <c r="A97" s="6">
        <v>10</v>
      </c>
      <c r="B97" t="inlineStr">
        <is>
          <t xml:space="preserve">ichimoku-cloud</t>
        </is>
      </c>
      <c r="C97" t="inlineStr">
        <is>
          <t xml:space="preserve">tfHours</t>
        </is>
      </c>
      <c r="D97" s="9">
        <v>4</v>
      </c>
      <c r="E97" s="9"/>
      <c r="F97" s="9">
        <v>4</v>
      </c>
      <c r="G97" s="9">
        <v>2</v>
      </c>
      <c r="H97" s="9">
        <v>8</v>
      </c>
      <c r="I97" s="9">
        <v>2</v>
      </c>
      <c r="J97" s="6">
        <v>4</v>
      </c>
      <c r="K97" t="inlineStr">
        <is>
          <t xml:space="preserve">2, 4, 6, 8</t>
        </is>
      </c>
      <c r="L97" t="inlineStr">
        <is>
          <t xml:space="preserve">registry grid (not searched: rejected before optimization)</t>
        </is>
      </c>
    </row>
    <row r="98">
      <c r="A98" s="6">
        <v>10</v>
      </c>
      <c r="B98" t="inlineStr">
        <is>
          <t xml:space="preserve">ichimoku-cloud</t>
        </is>
      </c>
      <c r="C98" t="inlineStr">
        <is>
          <t xml:space="preserve">periodSet</t>
        </is>
      </c>
      <c r="D98" s="9">
        <v>1</v>
      </c>
      <c r="E98" s="9"/>
      <c r="F98" s="9">
        <v>1</v>
      </c>
      <c r="G98" s="9">
        <v>1</v>
      </c>
      <c r="H98" s="9">
        <v>2</v>
      </c>
      <c r="I98" s="9">
        <v>1</v>
      </c>
      <c r="J98" s="6">
        <v>2</v>
      </c>
      <c r="K98" t="inlineStr">
        <is>
          <t xml:space="preserve">1, 2</t>
        </is>
      </c>
      <c r="L98" t="inlineStr">
        <is>
          <t xml:space="preserve">registry grid (not searched: rejected before optimization)</t>
        </is>
      </c>
    </row>
    <row r="99">
      <c r="A99" s="6">
        <v>10</v>
      </c>
      <c r="B99" t="inlineStr">
        <is>
          <t xml:space="preserve">ichimoku-cloud</t>
        </is>
      </c>
      <c r="C99" t="inlineStr">
        <is>
          <t xml:space="preserve">atrMult</t>
        </is>
      </c>
      <c r="D99" s="9">
        <v>2.5</v>
      </c>
      <c r="E99" s="9"/>
      <c r="F99" s="9">
        <v>2.5</v>
      </c>
      <c r="G99" s="9">
        <v>1.5</v>
      </c>
      <c r="H99" s="9">
        <v>3.5</v>
      </c>
      <c r="I99" s="9">
        <v>0.5</v>
      </c>
      <c r="J99" s="6">
        <v>5</v>
      </c>
      <c r="K99" t="inlineStr">
        <is>
          <t xml:space="preserve">1.5, 2, 2.5, 3, 3.5</t>
        </is>
      </c>
      <c r="L99" t="inlineStr">
        <is>
          <t xml:space="preserve">registry grid (not searched: rejected before optimization)</t>
        </is>
      </c>
    </row>
    <row r="100">
      <c r="A100" s="6">
        <v>11</v>
      </c>
      <c r="B100" t="inlineStr">
        <is>
          <t xml:space="preserve">dca-grid-long</t>
        </is>
      </c>
      <c r="C100" t="inlineStr">
        <is>
          <t xml:space="preserve">orders</t>
        </is>
      </c>
      <c r="D100" s="9">
        <v>5</v>
      </c>
      <c r="E100" s="9"/>
      <c r="F100" s="9">
        <v>5</v>
      </c>
      <c r="G100" s="9">
        <v>3</v>
      </c>
      <c r="H100" s="9">
        <v>7</v>
      </c>
      <c r="I100" s="9">
        <v>2</v>
      </c>
      <c r="J100" s="6">
        <v>3</v>
      </c>
      <c r="K100" t="inlineStr">
        <is>
          <t xml:space="preserve">3, 5, 7</t>
        </is>
      </c>
      <c r="L100" t="inlineStr">
        <is>
          <t xml:space="preserve">registry grid (not searched: rejected before optimization)</t>
        </is>
      </c>
    </row>
    <row r="101">
      <c r="A101" s="6">
        <v>11</v>
      </c>
      <c r="B101" t="inlineStr">
        <is>
          <t xml:space="preserve">dca-grid-long</t>
        </is>
      </c>
      <c r="C101" t="inlineStr">
        <is>
          <t xml:space="preserve">overlap</t>
        </is>
      </c>
      <c r="D101" s="9">
        <v>0.1</v>
      </c>
      <c r="E101" s="9"/>
      <c r="F101" s="9">
        <v>0.1</v>
      </c>
      <c r="G101" s="9">
        <v>0.05</v>
      </c>
      <c r="H101" s="9">
        <v>0.2</v>
      </c>
      <c r="I101" s="9">
        <v>0.05</v>
      </c>
      <c r="J101" s="6">
        <v>4</v>
      </c>
      <c r="K101" t="inlineStr">
        <is>
          <t xml:space="preserve">0.05, 0.1, 0.15, 0.2</t>
        </is>
      </c>
      <c r="L101" t="inlineStr">
        <is>
          <t xml:space="preserve">registry grid (not searched: rejected before optimization)</t>
        </is>
      </c>
    </row>
    <row r="102">
      <c r="A102" s="6">
        <v>11</v>
      </c>
      <c r="B102" t="inlineStr">
        <is>
          <t xml:space="preserve">dca-grid-long</t>
        </is>
      </c>
      <c r="C102" t="inlineStr">
        <is>
          <t xml:space="preserve">martingale</t>
        </is>
      </c>
      <c r="D102" s="9">
        <v>0.15</v>
      </c>
      <c r="E102" s="9"/>
      <c r="F102" s="9">
        <v>0.15</v>
      </c>
      <c r="G102" s="9">
        <v>0</v>
      </c>
      <c r="H102" s="9">
        <v>0.3</v>
      </c>
      <c r="I102" s="9">
        <v>0.15</v>
      </c>
      <c r="J102" s="6">
        <v>3</v>
      </c>
      <c r="K102" t="inlineStr">
        <is>
          <t xml:space="preserve">0, 0.15, 0.3</t>
        </is>
      </c>
      <c r="L102" t="inlineStr">
        <is>
          <t xml:space="preserve">registry grid (not searched: rejected before optimization)</t>
        </is>
      </c>
    </row>
    <row r="103">
      <c r="A103" s="6">
        <v>11</v>
      </c>
      <c r="B103" t="inlineStr">
        <is>
          <t xml:space="preserve">dca-grid-long</t>
        </is>
      </c>
      <c r="C103" t="inlineStr">
        <is>
          <t xml:space="preserve">takeProfit</t>
        </is>
      </c>
      <c r="D103" s="9">
        <v>0.01</v>
      </c>
      <c r="E103" s="9"/>
      <c r="F103" s="9">
        <v>0.01</v>
      </c>
      <c r="G103" s="9">
        <v>0.005</v>
      </c>
      <c r="H103" s="9">
        <v>0.02</v>
      </c>
      <c r="I103" s="9">
        <v>0.005</v>
      </c>
      <c r="J103" s="6">
        <v>4</v>
      </c>
      <c r="K103" t="inlineStr">
        <is>
          <t xml:space="preserve">0.005, 0.01, 0.015, 0.02</t>
        </is>
      </c>
      <c r="L103" t="inlineStr">
        <is>
          <t xml:space="preserve">registry grid (not searched: rejected before optimization)</t>
        </is>
      </c>
    </row>
    <row r="104">
      <c r="A104" s="6">
        <v>11</v>
      </c>
      <c r="B104" t="inlineStr">
        <is>
          <t xml:space="preserve">dca-grid-short</t>
        </is>
      </c>
      <c r="C104" t="inlineStr">
        <is>
          <t xml:space="preserve">orders</t>
        </is>
      </c>
      <c r="D104" s="9">
        <v>5</v>
      </c>
      <c r="E104" s="9"/>
      <c r="F104" s="9">
        <v>5</v>
      </c>
      <c r="G104" s="9">
        <v>3</v>
      </c>
      <c r="H104" s="9">
        <v>7</v>
      </c>
      <c r="I104" s="9">
        <v>2</v>
      </c>
      <c r="J104" s="6">
        <v>3</v>
      </c>
      <c r="K104" t="inlineStr">
        <is>
          <t xml:space="preserve">3, 5, 7</t>
        </is>
      </c>
      <c r="L104" t="inlineStr">
        <is>
          <t xml:space="preserve">registry grid (not searched: rejected before optimization)</t>
        </is>
      </c>
    </row>
    <row r="105">
      <c r="A105" s="6">
        <v>11</v>
      </c>
      <c r="B105" t="inlineStr">
        <is>
          <t xml:space="preserve">dca-grid-short</t>
        </is>
      </c>
      <c r="C105" t="inlineStr">
        <is>
          <t xml:space="preserve">overlap</t>
        </is>
      </c>
      <c r="D105" s="9">
        <v>0.1</v>
      </c>
      <c r="E105" s="9"/>
      <c r="F105" s="9">
        <v>0.1</v>
      </c>
      <c r="G105" s="9">
        <v>0.05</v>
      </c>
      <c r="H105" s="9">
        <v>0.2</v>
      </c>
      <c r="I105" s="9">
        <v>0.05</v>
      </c>
      <c r="J105" s="6">
        <v>4</v>
      </c>
      <c r="K105" t="inlineStr">
        <is>
          <t xml:space="preserve">0.05, 0.1, 0.15, 0.2</t>
        </is>
      </c>
      <c r="L105" t="inlineStr">
        <is>
          <t xml:space="preserve">registry grid (not searched: rejected before optimization)</t>
        </is>
      </c>
    </row>
    <row r="106">
      <c r="A106" s="6">
        <v>11</v>
      </c>
      <c r="B106" t="inlineStr">
        <is>
          <t xml:space="preserve">dca-grid-short</t>
        </is>
      </c>
      <c r="C106" t="inlineStr">
        <is>
          <t xml:space="preserve">martingale</t>
        </is>
      </c>
      <c r="D106" s="9">
        <v>0.15</v>
      </c>
      <c r="E106" s="9"/>
      <c r="F106" s="9">
        <v>0.15</v>
      </c>
      <c r="G106" s="9">
        <v>0</v>
      </c>
      <c r="H106" s="9">
        <v>0.3</v>
      </c>
      <c r="I106" s="9">
        <v>0.15</v>
      </c>
      <c r="J106" s="6">
        <v>3</v>
      </c>
      <c r="K106" t="inlineStr">
        <is>
          <t xml:space="preserve">0, 0.15, 0.3</t>
        </is>
      </c>
      <c r="L106" t="inlineStr">
        <is>
          <t xml:space="preserve">registry grid (not searched: rejected before optimization)</t>
        </is>
      </c>
    </row>
    <row r="107">
      <c r="A107" s="6">
        <v>11</v>
      </c>
      <c r="B107" t="inlineStr">
        <is>
          <t xml:space="preserve">dca-grid-short</t>
        </is>
      </c>
      <c r="C107" t="inlineStr">
        <is>
          <t xml:space="preserve">takeProfit</t>
        </is>
      </c>
      <c r="D107" s="9">
        <v>0.01</v>
      </c>
      <c r="E107" s="9"/>
      <c r="F107" s="9">
        <v>0.01</v>
      </c>
      <c r="G107" s="9">
        <v>0.005</v>
      </c>
      <c r="H107" s="9">
        <v>0.02</v>
      </c>
      <c r="I107" s="9">
        <v>0.005</v>
      </c>
      <c r="J107" s="6">
        <v>4</v>
      </c>
      <c r="K107" t="inlineStr">
        <is>
          <t xml:space="preserve">0.005, 0.01, 0.015, 0.02</t>
        </is>
      </c>
      <c r="L107" t="inlineStr">
        <is>
          <t xml:space="preserve">registry grid (not searched: rejected before optimization)</t>
        </is>
      </c>
    </row>
    <row r="108">
      <c r="A108" s="6">
        <v>11</v>
      </c>
      <c r="B108" t="inlineStr">
        <is>
          <t xml:space="preserve">dca-rsi-long</t>
        </is>
      </c>
      <c r="C108" t="inlineStr">
        <is>
          <t xml:space="preserve">rsiLevel</t>
        </is>
      </c>
      <c r="D108" s="9">
        <v>30</v>
      </c>
      <c r="E108" s="9"/>
      <c r="F108" s="9">
        <v>30</v>
      </c>
      <c r="G108" s="9">
        <v>20</v>
      </c>
      <c r="H108" s="9">
        <v>40</v>
      </c>
      <c r="I108" s="9">
        <v>5</v>
      </c>
      <c r="J108" s="6">
        <v>5</v>
      </c>
      <c r="K108" t="inlineStr">
        <is>
          <t xml:space="preserve">20, 25, 30, 35, 40</t>
        </is>
      </c>
      <c r="L108" t="inlineStr">
        <is>
          <t xml:space="preserve">registry grid (not searched: rejected before optimization)</t>
        </is>
      </c>
    </row>
    <row r="109">
      <c r="A109" s="6">
        <v>11</v>
      </c>
      <c r="B109" t="inlineStr">
        <is>
          <t xml:space="preserve">dca-rsi-long</t>
        </is>
      </c>
      <c r="C109" t="inlineStr">
        <is>
          <t xml:space="preserve">overlap</t>
        </is>
      </c>
      <c r="D109" s="9">
        <v>0.1</v>
      </c>
      <c r="E109" s="9"/>
      <c r="F109" s="9">
        <v>0.1</v>
      </c>
      <c r="G109" s="9">
        <v>0.05</v>
      </c>
      <c r="H109" s="9">
        <v>0.2</v>
      </c>
      <c r="I109" s="9">
        <v>0.05</v>
      </c>
      <c r="J109" s="6">
        <v>4</v>
      </c>
      <c r="K109" t="inlineStr">
        <is>
          <t xml:space="preserve">0.05, 0.1, 0.15, 0.2</t>
        </is>
      </c>
      <c r="L109" t="inlineStr">
        <is>
          <t xml:space="preserve">registry grid (not searched: rejected before optimization)</t>
        </is>
      </c>
    </row>
    <row r="110">
      <c r="A110" s="6">
        <v>11</v>
      </c>
      <c r="B110" t="inlineStr">
        <is>
          <t xml:space="preserve">dca-rsi-long</t>
        </is>
      </c>
      <c r="C110" t="inlineStr">
        <is>
          <t xml:space="preserve">takeProfit</t>
        </is>
      </c>
      <c r="D110" s="9">
        <v>0.01</v>
      </c>
      <c r="E110" s="9"/>
      <c r="F110" s="9">
        <v>0.01</v>
      </c>
      <c r="G110" s="9">
        <v>0.005</v>
      </c>
      <c r="H110" s="9">
        <v>0.02</v>
      </c>
      <c r="I110" s="9">
        <v>0.005</v>
      </c>
      <c r="J110" s="6">
        <v>4</v>
      </c>
      <c r="K110" t="inlineStr">
        <is>
          <t xml:space="preserve">0.005, 0.01, 0.015, 0.02</t>
        </is>
      </c>
      <c r="L110" t="inlineStr">
        <is>
          <t xml:space="preserve">registry grid (not searched: rejected before optimization)</t>
        </is>
      </c>
    </row>
    <row r="111">
      <c r="A111" s="6">
        <v>11</v>
      </c>
      <c r="B111" t="inlineStr">
        <is>
          <t xml:space="preserve">dca-rsi-long</t>
        </is>
      </c>
      <c r="C111" t="inlineStr">
        <is>
          <t xml:space="preserve">orders</t>
        </is>
      </c>
      <c r="D111" s="9">
        <v>5</v>
      </c>
      <c r="E111" s="9"/>
      <c r="F111" s="9">
        <v>5</v>
      </c>
      <c r="G111" s="9"/>
      <c r="H111" s="9"/>
      <c r="I111" s="9"/>
      <c r="J111" s="6"/>
      <c r="L111" t="inlineStr">
        <is>
          <t xml:space="preserve">fixed (not tuned)</t>
        </is>
      </c>
    </row>
    <row r="112">
      <c r="A112" s="6">
        <v>11</v>
      </c>
      <c r="B112" t="inlineStr">
        <is>
          <t xml:space="preserve">dca-rsi-long</t>
        </is>
      </c>
      <c r="C112" t="inlineStr">
        <is>
          <t xml:space="preserve">martingale</t>
        </is>
      </c>
      <c r="D112" s="9">
        <v>0.15</v>
      </c>
      <c r="E112" s="9"/>
      <c r="F112" s="9">
        <v>0.15</v>
      </c>
      <c r="G112" s="9"/>
      <c r="H112" s="9"/>
      <c r="I112" s="9"/>
      <c r="J112" s="6"/>
      <c r="L112" t="inlineStr">
        <is>
          <t xml:space="preserve">fixed (not tuned)</t>
        </is>
      </c>
    </row>
    <row r="113">
      <c r="A113" s="6">
        <v>11</v>
      </c>
      <c r="B113" t="inlineStr">
        <is>
          <t xml:space="preserve">dca-trend-long</t>
        </is>
      </c>
      <c r="C113" t="inlineStr">
        <is>
          <t xml:space="preserve">maDays</t>
        </is>
      </c>
      <c r="D113" s="9">
        <v>200</v>
      </c>
      <c r="E113" s="9"/>
      <c r="F113" s="9">
        <v>200</v>
      </c>
      <c r="G113" s="9">
        <v>50</v>
      </c>
      <c r="H113" s="9">
        <v>200</v>
      </c>
      <c r="I113" s="9">
        <v>50</v>
      </c>
      <c r="J113" s="6">
        <v>4</v>
      </c>
      <c r="K113" t="inlineStr">
        <is>
          <t xml:space="preserve">50, 100, 150, 200</t>
        </is>
      </c>
      <c r="L113" t="inlineStr">
        <is>
          <t xml:space="preserve">registry grid (not searched: rejected before optimization)</t>
        </is>
      </c>
    </row>
    <row r="114">
      <c r="A114" s="6">
        <v>11</v>
      </c>
      <c r="B114" t="inlineStr">
        <is>
          <t xml:space="preserve">dca-trend-long</t>
        </is>
      </c>
      <c r="C114" t="inlineStr">
        <is>
          <t xml:space="preserve">overlap</t>
        </is>
      </c>
      <c r="D114" s="9">
        <v>0.1</v>
      </c>
      <c r="E114" s="9"/>
      <c r="F114" s="9">
        <v>0.1</v>
      </c>
      <c r="G114" s="9">
        <v>0.05</v>
      </c>
      <c r="H114" s="9">
        <v>0.2</v>
      </c>
      <c r="I114" s="9">
        <v>0.05</v>
      </c>
      <c r="J114" s="6">
        <v>4</v>
      </c>
      <c r="K114" t="inlineStr">
        <is>
          <t xml:space="preserve">0.05, 0.1, 0.15, 0.2</t>
        </is>
      </c>
      <c r="L114" t="inlineStr">
        <is>
          <t xml:space="preserve">registry grid (not searched: rejected before optimization)</t>
        </is>
      </c>
    </row>
    <row r="115">
      <c r="A115" s="6">
        <v>11</v>
      </c>
      <c r="B115" t="inlineStr">
        <is>
          <t xml:space="preserve">dca-trend-long</t>
        </is>
      </c>
      <c r="C115" t="inlineStr">
        <is>
          <t xml:space="preserve">takeProfit</t>
        </is>
      </c>
      <c r="D115" s="9">
        <v>0.01</v>
      </c>
      <c r="E115" s="9"/>
      <c r="F115" s="9">
        <v>0.01</v>
      </c>
      <c r="G115" s="9">
        <v>0.005</v>
      </c>
      <c r="H115" s="9">
        <v>0.02</v>
      </c>
      <c r="I115" s="9">
        <v>0.005</v>
      </c>
      <c r="J115" s="6">
        <v>4</v>
      </c>
      <c r="K115" t="inlineStr">
        <is>
          <t xml:space="preserve">0.005, 0.01, 0.015, 0.02</t>
        </is>
      </c>
      <c r="L115" t="inlineStr">
        <is>
          <t xml:space="preserve">registry grid (not searched: rejected before optimization)</t>
        </is>
      </c>
    </row>
    <row r="116">
      <c r="A116" s="6">
        <v>11</v>
      </c>
      <c r="B116" t="inlineStr">
        <is>
          <t xml:space="preserve">dca-trend-long</t>
        </is>
      </c>
      <c r="C116" t="inlineStr">
        <is>
          <t xml:space="preserve">orders</t>
        </is>
      </c>
      <c r="D116" s="9">
        <v>5</v>
      </c>
      <c r="E116" s="9"/>
      <c r="F116" s="9">
        <v>5</v>
      </c>
      <c r="G116" s="9"/>
      <c r="H116" s="9"/>
      <c r="I116" s="9"/>
      <c r="J116" s="6"/>
      <c r="L116" t="inlineStr">
        <is>
          <t xml:space="preserve">fixed (not tuned)</t>
        </is>
      </c>
    </row>
    <row r="117">
      <c r="A117" s="6">
        <v>11</v>
      </c>
      <c r="B117" t="inlineStr">
        <is>
          <t xml:space="preserve">dca-trend-long</t>
        </is>
      </c>
      <c r="C117" t="inlineStr">
        <is>
          <t xml:space="preserve">martingale</t>
        </is>
      </c>
      <c r="D117" s="9">
        <v>0.15</v>
      </c>
      <c r="E117" s="9"/>
      <c r="F117" s="9">
        <v>0.15</v>
      </c>
      <c r="G117" s="9"/>
      <c r="H117" s="9"/>
      <c r="I117" s="9"/>
      <c r="J117" s="6"/>
      <c r="L117" t="inlineStr">
        <is>
          <t xml:space="preserve">fixed (not tuned)</t>
        </is>
      </c>
    </row>
    <row r="118">
      <c r="A118" s="6">
        <v>12</v>
      </c>
      <c r="B118" t="inlineStr">
        <is>
          <t xml:space="preserve">cascade-fade</t>
        </is>
      </c>
      <c r="C118" t="inlineStr">
        <is>
          <t xml:space="preserve">dropAtr</t>
        </is>
      </c>
      <c r="D118" s="9">
        <v>1.5</v>
      </c>
      <c r="E118" s="9"/>
      <c r="F118" s="9">
        <v>1.5</v>
      </c>
      <c r="G118" s="9">
        <v>1</v>
      </c>
      <c r="H118" s="9">
        <v>3</v>
      </c>
      <c r="I118" s="9">
        <v>0.5</v>
      </c>
      <c r="J118" s="6">
        <v>5</v>
      </c>
      <c r="K118" t="inlineStr">
        <is>
          <t xml:space="preserve">1, 1.5, 2, 2.5, 3</t>
        </is>
      </c>
      <c r="L118" t="inlineStr">
        <is>
          <t xml:space="preserve">registry grid (not searched: rejected before optimization)</t>
        </is>
      </c>
    </row>
    <row r="119">
      <c r="A119" s="6">
        <v>12</v>
      </c>
      <c r="B119" t="inlineStr">
        <is>
          <t xml:space="preserve">cascade-fade</t>
        </is>
      </c>
      <c r="C119" t="inlineStr">
        <is>
          <t xml:space="preserve">volMult</t>
        </is>
      </c>
      <c r="D119" s="9">
        <v>1.5</v>
      </c>
      <c r="E119" s="9"/>
      <c r="F119" s="9">
        <v>1.5</v>
      </c>
      <c r="G119" s="9">
        <v>1</v>
      </c>
      <c r="H119" s="9">
        <v>3</v>
      </c>
      <c r="I119" s="9">
        <v>0.5</v>
      </c>
      <c r="J119" s="6">
        <v>5</v>
      </c>
      <c r="K119" t="inlineStr">
        <is>
          <t xml:space="preserve">1, 1.5, 2, 2.5, 3</t>
        </is>
      </c>
      <c r="L119" t="inlineStr">
        <is>
          <t xml:space="preserve">registry grid (not searched: rejected before optimization)</t>
        </is>
      </c>
    </row>
    <row r="120">
      <c r="A120" s="6">
        <v>12</v>
      </c>
      <c r="B120" t="inlineStr">
        <is>
          <t xml:space="preserve">cascade-fade</t>
        </is>
      </c>
      <c r="C120" t="inlineStr">
        <is>
          <t xml:space="preserve">holdBars</t>
        </is>
      </c>
      <c r="D120" s="9">
        <v>24</v>
      </c>
      <c r="E120" s="9"/>
      <c r="F120" s="9">
        <v>24</v>
      </c>
      <c r="G120" s="9">
        <v>12</v>
      </c>
      <c r="H120" s="9">
        <v>48</v>
      </c>
      <c r="I120" s="9">
        <v>12</v>
      </c>
      <c r="J120" s="6">
        <v>4</v>
      </c>
      <c r="K120" t="inlineStr">
        <is>
          <t xml:space="preserve">12, 24, 36, 48</t>
        </is>
      </c>
      <c r="L120" t="inlineStr">
        <is>
          <t xml:space="preserve">registry grid (not searched: rejected before optimization)</t>
        </is>
      </c>
    </row>
    <row r="121">
      <c r="A121" s="6">
        <v>12</v>
      </c>
      <c r="B121" t="inlineStr">
        <is>
          <t xml:space="preserve">turmoil-reversal</t>
        </is>
      </c>
      <c r="C121" t="inlineStr">
        <is>
          <t xml:space="preserve">zEntry</t>
        </is>
      </c>
      <c r="D121" s="9">
        <v>1</v>
      </c>
      <c r="E121" s="9"/>
      <c r="F121" s="9">
        <v>1</v>
      </c>
      <c r="G121" s="9">
        <v>0.5</v>
      </c>
      <c r="H121" s="9">
        <v>2</v>
      </c>
      <c r="I121" s="9">
        <v>0.25</v>
      </c>
      <c r="J121" s="6">
        <v>7</v>
      </c>
      <c r="K121" t="inlineStr">
        <is>
          <t xml:space="preserve">0.5, 0.75, 1, 1.25, 1.5, 1.75, 2</t>
        </is>
      </c>
      <c r="L121" t="inlineStr">
        <is>
          <t xml:space="preserve">registry grid (not searched: rejected before optimization)</t>
        </is>
      </c>
    </row>
    <row r="122">
      <c r="A122" s="6">
        <v>12</v>
      </c>
      <c r="B122" t="inlineStr">
        <is>
          <t xml:space="preserve">turmoil-reversal</t>
        </is>
      </c>
      <c r="C122" t="inlineStr">
        <is>
          <t xml:space="preserve">volQuantile</t>
        </is>
      </c>
      <c r="D122" s="9">
        <v>0.7</v>
      </c>
      <c r="E122" s="9"/>
      <c r="F122" s="9">
        <v>0.7</v>
      </c>
      <c r="G122" s="9">
        <v>0.5</v>
      </c>
      <c r="H122" s="9">
        <v>0.9</v>
      </c>
      <c r="I122" s="9">
        <v>0.1</v>
      </c>
      <c r="J122" s="6">
        <v>5</v>
      </c>
      <c r="K122" t="inlineStr">
        <is>
          <t xml:space="preserve">0.5, 0.6, 0.7, 0.8, 0.9</t>
        </is>
      </c>
      <c r="L122" t="inlineStr">
        <is>
          <t xml:space="preserve">registry grid (not searched: rejected before optimization)</t>
        </is>
      </c>
    </row>
    <row r="123">
      <c r="A123" s="6">
        <v>12</v>
      </c>
      <c r="B123" t="inlineStr">
        <is>
          <t xml:space="preserve">turmoil-reversal</t>
        </is>
      </c>
      <c r="C123" t="inlineStr">
        <is>
          <t xml:space="preserve">holdPeriods</t>
        </is>
      </c>
      <c r="D123" s="9">
        <v>6</v>
      </c>
      <c r="E123" s="9"/>
      <c r="F123" s="9">
        <v>6</v>
      </c>
      <c r="G123" s="9">
        <v>3</v>
      </c>
      <c r="H123" s="9">
        <v>12</v>
      </c>
      <c r="I123" s="9">
        <v>3</v>
      </c>
      <c r="J123" s="6">
        <v>4</v>
      </c>
      <c r="K123" t="inlineStr">
        <is>
          <t xml:space="preserve">3, 6, 9, 12</t>
        </is>
      </c>
      <c r="L123" t="inlineStr">
        <is>
          <t xml:space="preserve">registry grid (not searched: rejected before optimization)</t>
        </is>
      </c>
    </row>
    <row r="124">
      <c r="A124" s="6">
        <v>12</v>
      </c>
      <c r="B124" t="inlineStr">
        <is>
          <t xml:space="preserve">round-number-bounce</t>
        </is>
      </c>
      <c r="C124" t="inlineStr">
        <is>
          <t xml:space="preserve">levelStep</t>
        </is>
      </c>
      <c r="D124" s="9">
        <v>1000</v>
      </c>
      <c r="E124" s="9"/>
      <c r="F124" s="9">
        <v>1000</v>
      </c>
      <c r="G124" s="9">
        <v>500</v>
      </c>
      <c r="H124" s="9">
        <v>2500</v>
      </c>
      <c r="I124" s="9">
        <v>500</v>
      </c>
      <c r="J124" s="6">
        <v>5</v>
      </c>
      <c r="K124" t="inlineStr">
        <is>
          <t xml:space="preserve">500, 1000, 1500, 2000, 2500</t>
        </is>
      </c>
      <c r="L124" t="inlineStr">
        <is>
          <t xml:space="preserve">registry grid (not searched: rejected before optimization)</t>
        </is>
      </c>
    </row>
    <row r="125">
      <c r="A125" s="6">
        <v>12</v>
      </c>
      <c r="B125" t="inlineStr">
        <is>
          <t xml:space="preserve">round-number-bounce</t>
        </is>
      </c>
      <c r="C125" t="inlineStr">
        <is>
          <t xml:space="preserve">freshBars</t>
        </is>
      </c>
      <c r="D125" s="9">
        <v>24</v>
      </c>
      <c r="E125" s="9"/>
      <c r="F125" s="9">
        <v>24</v>
      </c>
      <c r="G125" s="9">
        <v>12</v>
      </c>
      <c r="H125" s="9">
        <v>60</v>
      </c>
      <c r="I125" s="9">
        <v>12</v>
      </c>
      <c r="J125" s="6">
        <v>5</v>
      </c>
      <c r="K125" t="inlineStr">
        <is>
          <t xml:space="preserve">12, 24, 36, 48, 60</t>
        </is>
      </c>
      <c r="L125" t="inlineStr">
        <is>
          <t xml:space="preserve">registry grid (not searched: rejected before optimization)</t>
        </is>
      </c>
    </row>
    <row r="126">
      <c r="A126" s="6">
        <v>12</v>
      </c>
      <c r="B126" t="inlineStr">
        <is>
          <t xml:space="preserve">round-number-bounce</t>
        </is>
      </c>
      <c r="C126" t="inlineStr">
        <is>
          <t xml:space="preserve">holdBars</t>
        </is>
      </c>
      <c r="D126" s="9">
        <v>24</v>
      </c>
      <c r="E126" s="9"/>
      <c r="F126" s="9">
        <v>24</v>
      </c>
      <c r="G126" s="9">
        <v>12</v>
      </c>
      <c r="H126" s="9">
        <v>48</v>
      </c>
      <c r="I126" s="9">
        <v>12</v>
      </c>
      <c r="J126" s="6">
        <v>4</v>
      </c>
      <c r="K126" t="inlineStr">
        <is>
          <t xml:space="preserve">12, 24, 36, 48</t>
        </is>
      </c>
      <c r="L126" t="inlineStr">
        <is>
          <t xml:space="preserve">registry grid (not searched: rejected before optimization)</t>
        </is>
      </c>
    </row>
  </sheetData>
  <autoFilter ref="A1:L126"/>
  <pageMargins left="0.5" right="0.5" top="0.75" bottom="0.75" header="0.3" footer="0.3"/>
</worksheet>
</file>

<file path=xl/worksheets/sheet4.xml><?xml version="1.0" encoding="utf-8"?>
<worksheet xmlns="http://schemas.openxmlformats.org/spreadsheetml/2006/main">
  <sheetViews>
    <sheetView workbookViewId="0">
      <pane xSplit="2" ySplit="1" topLeftCell="C2" activePane="bottomRight" state="frozen"/>
      <selection pane="bottomRight" activeCell="C2" sqref="C2"/>
    </sheetView>
  </sheetViews>
  <sheetFormatPr defaultRowHeight="13.2"/>
  <cols>
    <col min="1" max="1" width="7" customWidth="1"/>
    <col min="2" max="2" width="28" customWidth="1"/>
    <col min="3" max="3" width="12" customWidth="1"/>
    <col min="4" max="4" width="6" customWidth="1"/>
    <col min="5" max="5" width="11" customWidth="1"/>
    <col min="6" max="6" width="11" customWidth="1"/>
    <col min="7" max="7" width="11" customWidth="1"/>
    <col min="8" max="8" width="11" customWidth="1"/>
    <col min="9" max="9" width="10" customWidth="1"/>
    <col min="10" max="10" width="9" customWidth="1"/>
    <col min="11" max="11" width="9" customWidth="1"/>
    <col min="12" max="12" width="10" customWidth="1"/>
    <col min="13" max="13" width="8" customWidth="1"/>
    <col min="14" max="14" width="8" customWidth="1"/>
  </cols>
  <sheetData>
    <row r="1">
      <c r="A1" s="1" t="inlineStr">
        <is>
          <t xml:space="preserve">Cycle</t>
        </is>
      </c>
      <c r="B1" s="1" t="inlineStr">
        <is>
          <t xml:space="preserve">Strategy</t>
        </is>
      </c>
      <c r="C1" s="1" t="inlineStr">
        <is>
          <t xml:space="preserve">Parameters</t>
        </is>
      </c>
      <c r="D1" s="1" t="inlineStr">
        <is>
          <t xml:space="preserve">Fold</t>
        </is>
      </c>
      <c r="E1" s="1" t="inlineStr">
        <is>
          <t xml:space="preserve">Train from</t>
        </is>
      </c>
      <c r="F1" s="1" t="inlineStr">
        <is>
          <t xml:space="preserve">Train to (excl.)</t>
        </is>
      </c>
      <c r="G1" s="1" t="inlineStr">
        <is>
          <t xml:space="preserve">Test from</t>
        </is>
      </c>
      <c r="H1" s="1" t="inlineStr">
        <is>
          <t xml:space="preserve">Test to (excl.)</t>
        </is>
      </c>
      <c r="I1" s="1" t="inlineStr">
        <is>
          <t xml:space="preserve">Net %</t>
        </is>
      </c>
      <c r="J1" s="1" t="inlineStr">
        <is>
          <t xml:space="preserve">Profit factor</t>
        </is>
      </c>
      <c r="K1" s="1" t="inlineStr">
        <is>
          <t xml:space="preserve">Sharpe</t>
        </is>
      </c>
      <c r="L1" s="1" t="inlineStr">
        <is>
          <t xml:space="preserve">Max DD %</t>
        </is>
      </c>
      <c r="M1" s="1" t="inlineStr">
        <is>
          <t xml:space="preserve">Trades</t>
        </is>
      </c>
      <c r="N1" s="1" t="inlineStr">
        <is>
          <t xml:space="preserve">Passed</t>
        </is>
      </c>
    </row>
    <row r="2">
      <c r="A2" s="6">
        <v>3</v>
      </c>
      <c r="B2" t="inlineStr">
        <is>
          <t xml:space="preserve">donchian-breakout</t>
        </is>
      </c>
      <c r="C2" t="inlineStr">
        <is>
          <t xml:space="preserve">defaults</t>
        </is>
      </c>
      <c r="D2" s="6">
        <v>1</v>
      </c>
      <c r="E2" t="inlineStr">
        <is>
          <t xml:space="preserve">2021-01-01</t>
        </is>
      </c>
      <c r="F2" t="inlineStr">
        <is>
          <t xml:space="preserve">2022-01-01</t>
        </is>
      </c>
      <c r="G2" t="inlineStr">
        <is>
          <t xml:space="preserve">2022-01-01</t>
        </is>
      </c>
      <c r="H2" t="inlineStr">
        <is>
          <t xml:space="preserve">2022-04-01</t>
        </is>
      </c>
      <c r="I2" s="7">
        <v>-0.014703851295967962</v>
      </c>
      <c r="J2" s="5">
        <v>0.9069566820964164</v>
      </c>
      <c r="K2" s="5">
        <v>-0.3201462268369245</v>
      </c>
      <c r="L2" s="7">
        <v>0.0854281789648722</v>
      </c>
      <c r="M2" s="6">
        <v>25</v>
      </c>
      <c r="N2" t="inlineStr">
        <is>
          <t xml:space="preserve">no</t>
        </is>
      </c>
    </row>
    <row r="3">
      <c r="A3" s="6">
        <v>3</v>
      </c>
      <c r="B3" t="inlineStr">
        <is>
          <t xml:space="preserve">donchian-breakout</t>
        </is>
      </c>
      <c r="C3" t="inlineStr">
        <is>
          <t xml:space="preserve">defaults</t>
        </is>
      </c>
      <c r="D3" s="6">
        <v>2</v>
      </c>
      <c r="E3" t="inlineStr">
        <is>
          <t xml:space="preserve">2021-07-01</t>
        </is>
      </c>
      <c r="F3" t="inlineStr">
        <is>
          <t xml:space="preserve">2022-07-01</t>
        </is>
      </c>
      <c r="G3" t="inlineStr">
        <is>
          <t xml:space="preserve">2022-07-01</t>
        </is>
      </c>
      <c r="H3" t="inlineStr">
        <is>
          <t xml:space="preserve">2022-10-01</t>
        </is>
      </c>
      <c r="I3" s="7">
        <v>-0.05151725006666331</v>
      </c>
      <c r="J3" s="5">
        <v>0.6357052781435041</v>
      </c>
      <c r="K3" s="5">
        <v>-1.4432084666717584</v>
      </c>
      <c r="L3" s="7">
        <v>0.08556425958387717</v>
      </c>
      <c r="M3" s="6">
        <v>25</v>
      </c>
      <c r="N3" t="inlineStr">
        <is>
          <t xml:space="preserve">no</t>
        </is>
      </c>
    </row>
    <row r="4">
      <c r="A4" s="6">
        <v>3</v>
      </c>
      <c r="B4" t="inlineStr">
        <is>
          <t xml:space="preserve">donchian-breakout</t>
        </is>
      </c>
      <c r="C4" t="inlineStr">
        <is>
          <t xml:space="preserve">defaults</t>
        </is>
      </c>
      <c r="D4" s="6">
        <v>3</v>
      </c>
      <c r="E4" t="inlineStr">
        <is>
          <t xml:space="preserve">2022-01-01</t>
        </is>
      </c>
      <c r="F4" t="inlineStr">
        <is>
          <t xml:space="preserve">2023-01-01</t>
        </is>
      </c>
      <c r="G4" t="inlineStr">
        <is>
          <t xml:space="preserve">2023-01-01</t>
        </is>
      </c>
      <c r="H4" t="inlineStr">
        <is>
          <t xml:space="preserve">2023-04-01</t>
        </is>
      </c>
      <c r="I4" s="7">
        <v>0.37000160473180776</v>
      </c>
      <c r="J4" s="5">
        <v>4.2290919568809064</v>
      </c>
      <c r="K4" s="5">
        <v>4.398146739505886</v>
      </c>
      <c r="L4" s="7">
        <v>0.08482655126585428</v>
      </c>
      <c r="M4" s="6">
        <v>16</v>
      </c>
      <c r="N4" t="inlineStr">
        <is>
          <t xml:space="preserve">yes</t>
        </is>
      </c>
    </row>
    <row r="5">
      <c r="A5" s="6">
        <v>3</v>
      </c>
      <c r="B5" t="inlineStr">
        <is>
          <t xml:space="preserve">donchian-breakout</t>
        </is>
      </c>
      <c r="C5" t="inlineStr">
        <is>
          <t xml:space="preserve">defaults</t>
        </is>
      </c>
      <c r="D5" s="6">
        <v>4</v>
      </c>
      <c r="E5" t="inlineStr">
        <is>
          <t xml:space="preserve">2022-07-01</t>
        </is>
      </c>
      <c r="F5" t="inlineStr">
        <is>
          <t xml:space="preserve">2023-07-01</t>
        </is>
      </c>
      <c r="G5" t="inlineStr">
        <is>
          <t xml:space="preserve">2023-07-01</t>
        </is>
      </c>
      <c r="H5" t="inlineStr">
        <is>
          <t xml:space="preserve">2023-10-01</t>
        </is>
      </c>
      <c r="I5" s="7">
        <v>-0.12031083571754418</v>
      </c>
      <c r="J5" s="5">
        <v>0.3652023942474171</v>
      </c>
      <c r="K5" s="5">
        <v>-3.032039106590682</v>
      </c>
      <c r="L5" s="7">
        <v>0.12677102898500972</v>
      </c>
      <c r="M5" s="6">
        <v>25</v>
      </c>
      <c r="N5" t="inlineStr">
        <is>
          <t xml:space="preserve">no</t>
        </is>
      </c>
    </row>
    <row r="6">
      <c r="A6" s="6">
        <v>3</v>
      </c>
      <c r="B6" t="inlineStr">
        <is>
          <t xml:space="preserve">bollinger-reversion</t>
        </is>
      </c>
      <c r="C6" t="inlineStr">
        <is>
          <t xml:space="preserve">defaults</t>
        </is>
      </c>
      <c r="D6" s="6">
        <v>1</v>
      </c>
      <c r="E6" t="inlineStr">
        <is>
          <t xml:space="preserve">2021-01-01</t>
        </is>
      </c>
      <c r="F6" t="inlineStr">
        <is>
          <t xml:space="preserve">2022-01-01</t>
        </is>
      </c>
      <c r="G6" t="inlineStr">
        <is>
          <t xml:space="preserve">2022-01-01</t>
        </is>
      </c>
      <c r="H6" t="inlineStr">
        <is>
          <t xml:space="preserve">2022-04-01</t>
        </is>
      </c>
      <c r="I6" s="7">
        <v>-0.042102018136392694</v>
      </c>
      <c r="J6" s="5">
        <v>0.8356206102686016</v>
      </c>
      <c r="K6" s="5">
        <v>-1.169666890278737</v>
      </c>
      <c r="L6" s="7">
        <v>0.06572799396039536</v>
      </c>
      <c r="M6" s="6">
        <v>60</v>
      </c>
      <c r="N6" t="inlineStr">
        <is>
          <t xml:space="preserve">no</t>
        </is>
      </c>
    </row>
    <row r="7">
      <c r="A7" s="6">
        <v>3</v>
      </c>
      <c r="B7" t="inlineStr">
        <is>
          <t xml:space="preserve">bollinger-reversion</t>
        </is>
      </c>
      <c r="C7" t="inlineStr">
        <is>
          <t xml:space="preserve">defaults</t>
        </is>
      </c>
      <c r="D7" s="6">
        <v>2</v>
      </c>
      <c r="E7" t="inlineStr">
        <is>
          <t xml:space="preserve">2021-07-01</t>
        </is>
      </c>
      <c r="F7" t="inlineStr">
        <is>
          <t xml:space="preserve">2022-07-01</t>
        </is>
      </c>
      <c r="G7" t="inlineStr">
        <is>
          <t xml:space="preserve">2022-07-01</t>
        </is>
      </c>
      <c r="H7" t="inlineStr">
        <is>
          <t xml:space="preserve">2022-10-01</t>
        </is>
      </c>
      <c r="I7" s="7">
        <v>0.10407294407618473</v>
      </c>
      <c r="J7" s="5">
        <v>1.4972525291750012</v>
      </c>
      <c r="K7" s="5">
        <v>2.964923783202131</v>
      </c>
      <c r="L7" s="7">
        <v>0.06292913186459229</v>
      </c>
      <c r="M7" s="6">
        <v>59</v>
      </c>
      <c r="N7" t="inlineStr">
        <is>
          <t xml:space="preserve">yes</t>
        </is>
      </c>
    </row>
    <row r="8">
      <c r="A8" s="6">
        <v>3</v>
      </c>
      <c r="B8" t="inlineStr">
        <is>
          <t xml:space="preserve">bollinger-reversion</t>
        </is>
      </c>
      <c r="C8" t="inlineStr">
        <is>
          <t xml:space="preserve">defaults</t>
        </is>
      </c>
      <c r="D8" s="6">
        <v>3</v>
      </c>
      <c r="E8" t="inlineStr">
        <is>
          <t xml:space="preserve">2022-01-01</t>
        </is>
      </c>
      <c r="F8" t="inlineStr">
        <is>
          <t xml:space="preserve">2023-01-01</t>
        </is>
      </c>
      <c r="G8" t="inlineStr">
        <is>
          <t xml:space="preserve">2023-01-01</t>
        </is>
      </c>
      <c r="H8" t="inlineStr">
        <is>
          <t xml:space="preserve">2023-04-01</t>
        </is>
      </c>
      <c r="I8" s="7">
        <v>0.004550501891631642</v>
      </c>
      <c r="J8" s="5">
        <v>1.0212666860643278</v>
      </c>
      <c r="K8" s="5">
        <v>0.2068520758845751</v>
      </c>
      <c r="L8" s="7">
        <v>0.06304467241416492</v>
      </c>
      <c r="M8" s="6">
        <v>60</v>
      </c>
      <c r="N8" t="inlineStr">
        <is>
          <t xml:space="preserve">yes</t>
        </is>
      </c>
    </row>
    <row r="9">
      <c r="A9" s="6">
        <v>3</v>
      </c>
      <c r="B9" t="inlineStr">
        <is>
          <t xml:space="preserve">bollinger-reversion</t>
        </is>
      </c>
      <c r="C9" t="inlineStr">
        <is>
          <t xml:space="preserve">defaults</t>
        </is>
      </c>
      <c r="D9" s="6">
        <v>4</v>
      </c>
      <c r="E9" t="inlineStr">
        <is>
          <t xml:space="preserve">2022-07-01</t>
        </is>
      </c>
      <c r="F9" t="inlineStr">
        <is>
          <t xml:space="preserve">2023-07-01</t>
        </is>
      </c>
      <c r="G9" t="inlineStr">
        <is>
          <t xml:space="preserve">2023-07-01</t>
        </is>
      </c>
      <c r="H9" t="inlineStr">
        <is>
          <t xml:space="preserve">2023-10-01</t>
        </is>
      </c>
      <c r="I9" s="7">
        <v>-0.012683947226209025</v>
      </c>
      <c r="J9" s="5">
        <v>0.9468095855664214</v>
      </c>
      <c r="K9" s="5">
        <v>-0.35479343235153754</v>
      </c>
      <c r="L9" s="7">
        <v>0.08236077197996267</v>
      </c>
      <c r="M9" s="6">
        <v>66</v>
      </c>
      <c r="N9" t="inlineStr">
        <is>
          <t xml:space="preserve">no</t>
        </is>
      </c>
    </row>
    <row r="10">
      <c r="A10" s="6">
        <v>3</v>
      </c>
      <c r="B10" t="inlineStr">
        <is>
          <t xml:space="preserve">keltner-breakout</t>
        </is>
      </c>
      <c r="C10" t="inlineStr">
        <is>
          <t xml:space="preserve">defaults</t>
        </is>
      </c>
      <c r="D10" s="6">
        <v>1</v>
      </c>
      <c r="E10" t="inlineStr">
        <is>
          <t xml:space="preserve">2021-01-01</t>
        </is>
      </c>
      <c r="F10" t="inlineStr">
        <is>
          <t xml:space="preserve">2022-01-01</t>
        </is>
      </c>
      <c r="G10" t="inlineStr">
        <is>
          <t xml:space="preserve">2022-01-01</t>
        </is>
      </c>
      <c r="H10" t="inlineStr">
        <is>
          <t xml:space="preserve">2022-04-01</t>
        </is>
      </c>
      <c r="I10" s="7">
        <v>0.026238380830382546</v>
      </c>
      <c r="J10" s="5">
        <v>1.1364852937760561</v>
      </c>
      <c r="K10" s="5">
        <v>0.6722424187814645</v>
      </c>
      <c r="L10" s="7">
        <v>0.05670044089875116</v>
      </c>
      <c r="M10" s="6">
        <v>44</v>
      </c>
      <c r="N10" t="inlineStr">
        <is>
          <t xml:space="preserve">yes</t>
        </is>
      </c>
    </row>
    <row r="11">
      <c r="A11" s="6">
        <v>3</v>
      </c>
      <c r="B11" t="inlineStr">
        <is>
          <t xml:space="preserve">keltner-breakout</t>
        </is>
      </c>
      <c r="C11" t="inlineStr">
        <is>
          <t xml:space="preserve">defaults</t>
        </is>
      </c>
      <c r="D11" s="6">
        <v>2</v>
      </c>
      <c r="E11" t="inlineStr">
        <is>
          <t xml:space="preserve">2021-07-01</t>
        </is>
      </c>
      <c r="F11" t="inlineStr">
        <is>
          <t xml:space="preserve">2022-07-01</t>
        </is>
      </c>
      <c r="G11" t="inlineStr">
        <is>
          <t xml:space="preserve">2022-07-01</t>
        </is>
      </c>
      <c r="H11" t="inlineStr">
        <is>
          <t xml:space="preserve">2022-10-01</t>
        </is>
      </c>
      <c r="I11" s="7">
        <v>-0.0882847538092838</v>
      </c>
      <c r="J11" s="5">
        <v>0.6089634423966455</v>
      </c>
      <c r="K11" s="5">
        <v>-2.2150809891608945</v>
      </c>
      <c r="L11" s="7">
        <v>0.12067611339760852</v>
      </c>
      <c r="M11" s="6">
        <v>42</v>
      </c>
      <c r="N11" t="inlineStr">
        <is>
          <t xml:space="preserve">no</t>
        </is>
      </c>
    </row>
    <row r="12">
      <c r="A12" s="6">
        <v>3</v>
      </c>
      <c r="B12" t="inlineStr">
        <is>
          <t xml:space="preserve">keltner-breakout</t>
        </is>
      </c>
      <c r="C12" t="inlineStr">
        <is>
          <t xml:space="preserve">defaults</t>
        </is>
      </c>
      <c r="D12" s="6">
        <v>3</v>
      </c>
      <c r="E12" t="inlineStr">
        <is>
          <t xml:space="preserve">2022-01-01</t>
        </is>
      </c>
      <c r="F12" t="inlineStr">
        <is>
          <t xml:space="preserve">2023-01-01</t>
        </is>
      </c>
      <c r="G12" t="inlineStr">
        <is>
          <t xml:space="preserve">2023-01-01</t>
        </is>
      </c>
      <c r="H12" t="inlineStr">
        <is>
          <t xml:space="preserve">2023-04-01</t>
        </is>
      </c>
      <c r="I12" s="7">
        <v>0.28077908272890384</v>
      </c>
      <c r="J12" s="5">
        <v>2.276179692202716</v>
      </c>
      <c r="K12" s="5">
        <v>3.5578256730751856</v>
      </c>
      <c r="L12" s="7">
        <v>0.08348181197040182</v>
      </c>
      <c r="M12" s="6">
        <v>33</v>
      </c>
      <c r="N12" t="inlineStr">
        <is>
          <t xml:space="preserve">yes</t>
        </is>
      </c>
    </row>
    <row r="13">
      <c r="A13" s="6">
        <v>3</v>
      </c>
      <c r="B13" t="inlineStr">
        <is>
          <t xml:space="preserve">keltner-breakout</t>
        </is>
      </c>
      <c r="C13" t="inlineStr">
        <is>
          <t xml:space="preserve">defaults</t>
        </is>
      </c>
      <c r="D13" s="6">
        <v>4</v>
      </c>
      <c r="E13" t="inlineStr">
        <is>
          <t xml:space="preserve">2022-07-01</t>
        </is>
      </c>
      <c r="F13" t="inlineStr">
        <is>
          <t xml:space="preserve">2023-07-01</t>
        </is>
      </c>
      <c r="G13" t="inlineStr">
        <is>
          <t xml:space="preserve">2023-07-01</t>
        </is>
      </c>
      <c r="H13" t="inlineStr">
        <is>
          <t xml:space="preserve">2023-10-01</t>
        </is>
      </c>
      <c r="I13" s="7">
        <v>-0.14399855619358315</v>
      </c>
      <c r="J13" s="5">
        <v>0.41136441237195215</v>
      </c>
      <c r="K13" s="5">
        <v>-2.999132559698462</v>
      </c>
      <c r="L13" s="7">
        <v>0.15114120668484127</v>
      </c>
      <c r="M13" s="6">
        <v>42</v>
      </c>
      <c r="N13" t="inlineStr">
        <is>
          <t xml:space="preserve">no</t>
        </is>
      </c>
    </row>
    <row r="14">
      <c r="A14" s="6">
        <v>3</v>
      </c>
      <c r="B14" t="inlineStr">
        <is>
          <t xml:space="preserve">ts-momentum</t>
        </is>
      </c>
      <c r="C14" t="inlineStr">
        <is>
          <t xml:space="preserve">defaults</t>
        </is>
      </c>
      <c r="D14" s="6">
        <v>1</v>
      </c>
      <c r="E14" t="inlineStr">
        <is>
          <t xml:space="preserve">2021-01-01</t>
        </is>
      </c>
      <c r="F14" t="inlineStr">
        <is>
          <t xml:space="preserve">2022-01-01</t>
        </is>
      </c>
      <c r="G14" t="inlineStr">
        <is>
          <t xml:space="preserve">2022-01-01</t>
        </is>
      </c>
      <c r="H14" t="inlineStr">
        <is>
          <t xml:space="preserve">2022-04-01</t>
        </is>
      </c>
      <c r="I14" s="7">
        <v>0.27591814507905577</v>
      </c>
      <c r="J14" s="5">
        <v>4.535753035519041</v>
      </c>
      <c r="K14" s="5">
        <v>4.43464201401887</v>
      </c>
      <c r="L14" s="7">
        <v>0.05037481207976135</v>
      </c>
      <c r="M14" s="6">
        <v>25</v>
      </c>
      <c r="N14" t="inlineStr">
        <is>
          <t xml:space="preserve">yes</t>
        </is>
      </c>
    </row>
    <row r="15">
      <c r="A15" s="6">
        <v>3</v>
      </c>
      <c r="B15" t="inlineStr">
        <is>
          <t xml:space="preserve">ts-momentum</t>
        </is>
      </c>
      <c r="C15" t="inlineStr">
        <is>
          <t xml:space="preserve">defaults</t>
        </is>
      </c>
      <c r="D15" s="6">
        <v>2</v>
      </c>
      <c r="E15" t="inlineStr">
        <is>
          <t xml:space="preserve">2021-07-01</t>
        </is>
      </c>
      <c r="F15" t="inlineStr">
        <is>
          <t xml:space="preserve">2022-07-01</t>
        </is>
      </c>
      <c r="G15" t="inlineStr">
        <is>
          <t xml:space="preserve">2022-07-01</t>
        </is>
      </c>
      <c r="H15" t="inlineStr">
        <is>
          <t xml:space="preserve">2022-10-01</t>
        </is>
      </c>
      <c r="I15" s="7">
        <v>-0.09993714348485228</v>
      </c>
      <c r="J15" s="5">
        <v>0.47742908827345787</v>
      </c>
      <c r="K15" s="5">
        <v>-2.277625671408858</v>
      </c>
      <c r="L15" s="7">
        <v>0.1624453487030059</v>
      </c>
      <c r="M15" s="6">
        <v>39</v>
      </c>
      <c r="N15" t="inlineStr">
        <is>
          <t xml:space="preserve">no</t>
        </is>
      </c>
    </row>
    <row r="16">
      <c r="A16" s="6">
        <v>3</v>
      </c>
      <c r="B16" t="inlineStr">
        <is>
          <t xml:space="preserve">ts-momentum</t>
        </is>
      </c>
      <c r="C16" t="inlineStr">
        <is>
          <t xml:space="preserve">defaults</t>
        </is>
      </c>
      <c r="D16" s="6">
        <v>3</v>
      </c>
      <c r="E16" t="inlineStr">
        <is>
          <t xml:space="preserve">2022-01-01</t>
        </is>
      </c>
      <c r="F16" t="inlineStr">
        <is>
          <t xml:space="preserve">2023-01-01</t>
        </is>
      </c>
      <c r="G16" t="inlineStr">
        <is>
          <t xml:space="preserve">2023-01-01</t>
        </is>
      </c>
      <c r="H16" t="inlineStr">
        <is>
          <t xml:space="preserve">2023-04-01</t>
        </is>
      </c>
      <c r="I16" s="7">
        <v>0.2353754068027587</v>
      </c>
      <c r="J16" s="5">
        <v>2.029142580918472</v>
      </c>
      <c r="K16" s="5">
        <v>2.871303700287861</v>
      </c>
      <c r="L16" s="7">
        <v>0.08327762908605725</v>
      </c>
      <c r="M16" s="6">
        <v>34</v>
      </c>
      <c r="N16" t="inlineStr">
        <is>
          <t xml:space="preserve">yes</t>
        </is>
      </c>
    </row>
    <row r="17">
      <c r="A17" s="6">
        <v>3</v>
      </c>
      <c r="B17" t="inlineStr">
        <is>
          <t xml:space="preserve">ts-momentum</t>
        </is>
      </c>
      <c r="C17" t="inlineStr">
        <is>
          <t xml:space="preserve">defaults</t>
        </is>
      </c>
      <c r="D17" s="6">
        <v>4</v>
      </c>
      <c r="E17" t="inlineStr">
        <is>
          <t xml:space="preserve">2022-07-01</t>
        </is>
      </c>
      <c r="F17" t="inlineStr">
        <is>
          <t xml:space="preserve">2023-07-01</t>
        </is>
      </c>
      <c r="G17" t="inlineStr">
        <is>
          <t xml:space="preserve">2023-07-01</t>
        </is>
      </c>
      <c r="H17" t="inlineStr">
        <is>
          <t xml:space="preserve">2023-10-01</t>
        </is>
      </c>
      <c r="I17" s="7">
        <v>-0.1255299481140537</v>
      </c>
      <c r="J17" s="5">
        <v>0.4173133628923886</v>
      </c>
      <c r="K17" s="5">
        <v>-2.432560122019507</v>
      </c>
      <c r="L17" s="7">
        <v>0.13591647202900634</v>
      </c>
      <c r="M17" s="6">
        <v>30</v>
      </c>
      <c r="N17" t="inlineStr">
        <is>
          <t xml:space="preserve">no</t>
        </is>
      </c>
    </row>
    <row r="18">
      <c r="A18" s="6">
        <v>3</v>
      </c>
      <c r="B18" t="inlineStr">
        <is>
          <t xml:space="preserve">trend-pullback-rsi</t>
        </is>
      </c>
      <c r="C18" t="inlineStr">
        <is>
          <t xml:space="preserve">defaults</t>
        </is>
      </c>
      <c r="D18" s="6">
        <v>1</v>
      </c>
      <c r="E18" t="inlineStr">
        <is>
          <t xml:space="preserve">2021-01-01</t>
        </is>
      </c>
      <c r="F18" t="inlineStr">
        <is>
          <t xml:space="preserve">2022-01-01</t>
        </is>
      </c>
      <c r="G18" t="inlineStr">
        <is>
          <t xml:space="preserve">2022-01-01</t>
        </is>
      </c>
      <c r="H18" t="inlineStr">
        <is>
          <t xml:space="preserve">2022-04-01</t>
        </is>
      </c>
      <c r="I18" s="7">
        <v>0.026776507320394716</v>
      </c>
      <c r="J18" s="5">
        <v>1.3141742098775393</v>
      </c>
      <c r="K18" s="5">
        <v>1.4316022710897338</v>
      </c>
      <c r="L18" s="7">
        <v>0.024684953348803208</v>
      </c>
      <c r="M18" s="6">
        <v>49</v>
      </c>
      <c r="N18" t="inlineStr">
        <is>
          <t xml:space="preserve">yes</t>
        </is>
      </c>
    </row>
    <row r="19">
      <c r="A19" s="6">
        <v>3</v>
      </c>
      <c r="B19" t="inlineStr">
        <is>
          <t xml:space="preserve">trend-pullback-rsi</t>
        </is>
      </c>
      <c r="C19" t="inlineStr">
        <is>
          <t xml:space="preserve">defaults</t>
        </is>
      </c>
      <c r="D19" s="6">
        <v>2</v>
      </c>
      <c r="E19" t="inlineStr">
        <is>
          <t xml:space="preserve">2021-07-01</t>
        </is>
      </c>
      <c r="F19" t="inlineStr">
        <is>
          <t xml:space="preserve">2022-07-01</t>
        </is>
      </c>
      <c r="G19" t="inlineStr">
        <is>
          <t xml:space="preserve">2022-07-01</t>
        </is>
      </c>
      <c r="H19" t="inlineStr">
        <is>
          <t xml:space="preserve">2022-10-01</t>
        </is>
      </c>
      <c r="I19" s="7">
        <v>-0.03037647800407761</v>
      </c>
      <c r="J19" s="5">
        <v>0.7284387510388413</v>
      </c>
      <c r="K19" s="5">
        <v>-1.632687335601888</v>
      </c>
      <c r="L19" s="7">
        <v>0.04381327719792439</v>
      </c>
      <c r="M19" s="6">
        <v>43</v>
      </c>
      <c r="N19" t="inlineStr">
        <is>
          <t xml:space="preserve">no</t>
        </is>
      </c>
    </row>
    <row r="20">
      <c r="A20" s="6">
        <v>3</v>
      </c>
      <c r="B20" t="inlineStr">
        <is>
          <t xml:space="preserve">trend-pullback-rsi</t>
        </is>
      </c>
      <c r="C20" t="inlineStr">
        <is>
          <t xml:space="preserve">defaults</t>
        </is>
      </c>
      <c r="D20" s="6">
        <v>3</v>
      </c>
      <c r="E20" t="inlineStr">
        <is>
          <t xml:space="preserve">2022-01-01</t>
        </is>
      </c>
      <c r="F20" t="inlineStr">
        <is>
          <t xml:space="preserve">2023-01-01</t>
        </is>
      </c>
      <c r="G20" t="inlineStr">
        <is>
          <t xml:space="preserve">2023-01-01</t>
        </is>
      </c>
      <c r="H20" t="inlineStr">
        <is>
          <t xml:space="preserve">2023-04-01</t>
        </is>
      </c>
      <c r="I20" s="7">
        <v>0.07038580855536347</v>
      </c>
      <c r="J20" s="5">
        <v>3.3029369756516442</v>
      </c>
      <c r="K20" s="5">
        <v>4.4876523634974435</v>
      </c>
      <c r="L20" s="7">
        <v>0.01107320609726067</v>
      </c>
      <c r="M20" s="6">
        <v>38</v>
      </c>
      <c r="N20" t="inlineStr">
        <is>
          <t xml:space="preserve">yes</t>
        </is>
      </c>
    </row>
    <row r="21">
      <c r="A21" s="6">
        <v>3</v>
      </c>
      <c r="B21" t="inlineStr">
        <is>
          <t xml:space="preserve">trend-pullback-rsi</t>
        </is>
      </c>
      <c r="C21" t="inlineStr">
        <is>
          <t xml:space="preserve">defaults</t>
        </is>
      </c>
      <c r="D21" s="6">
        <v>4</v>
      </c>
      <c r="E21" t="inlineStr">
        <is>
          <t xml:space="preserve">2022-07-01</t>
        </is>
      </c>
      <c r="F21" t="inlineStr">
        <is>
          <t xml:space="preserve">2023-07-01</t>
        </is>
      </c>
      <c r="G21" t="inlineStr">
        <is>
          <t xml:space="preserve">2023-07-01</t>
        </is>
      </c>
      <c r="H21" t="inlineStr">
        <is>
          <t xml:space="preserve">2023-10-01</t>
        </is>
      </c>
      <c r="I21" s="7">
        <v>-0.03519212329530852</v>
      </c>
      <c r="J21" s="5">
        <v>0.6416739080352193</v>
      </c>
      <c r="K21" s="5">
        <v>-2.0972086373767467</v>
      </c>
      <c r="L21" s="7">
        <v>0.035280549080396656</v>
      </c>
      <c r="M21" s="6">
        <v>40</v>
      </c>
      <c r="N21" t="inlineStr">
        <is>
          <t xml:space="preserve">no</t>
        </is>
      </c>
    </row>
    <row r="22">
      <c r="A22" s="6">
        <v>4</v>
      </c>
      <c r="B22" t="inlineStr">
        <is>
          <t xml:space="preserve">failed-breakout-fade</t>
        </is>
      </c>
      <c r="C22" t="inlineStr">
        <is>
          <t xml:space="preserve">defaults</t>
        </is>
      </c>
      <c r="D22" s="6">
        <v>1</v>
      </c>
      <c r="E22" t="inlineStr">
        <is>
          <t xml:space="preserve">2021-01-01</t>
        </is>
      </c>
      <c r="F22" t="inlineStr">
        <is>
          <t xml:space="preserve">2022-01-01</t>
        </is>
      </c>
      <c r="G22" t="inlineStr">
        <is>
          <t xml:space="preserve">2022-01-01</t>
        </is>
      </c>
      <c r="H22" t="inlineStr">
        <is>
          <t xml:space="preserve">2022-04-01</t>
        </is>
      </c>
      <c r="I22" s="7">
        <v>0.03046982166319978</v>
      </c>
      <c r="J22" s="5">
        <v>1.1784816849198283</v>
      </c>
      <c r="K22" s="5">
        <v>0.9615541207255156</v>
      </c>
      <c r="L22" s="7">
        <v>0.03449609471647041</v>
      </c>
      <c r="M22" s="6">
        <v>38</v>
      </c>
      <c r="N22" t="inlineStr">
        <is>
          <t xml:space="preserve">yes</t>
        </is>
      </c>
    </row>
    <row r="23">
      <c r="A23" s="6">
        <v>4</v>
      </c>
      <c r="B23" t="inlineStr">
        <is>
          <t xml:space="preserve">failed-breakout-fade</t>
        </is>
      </c>
      <c r="C23" t="inlineStr">
        <is>
          <t xml:space="preserve">defaults</t>
        </is>
      </c>
      <c r="D23" s="6">
        <v>2</v>
      </c>
      <c r="E23" t="inlineStr">
        <is>
          <t xml:space="preserve">2021-07-01</t>
        </is>
      </c>
      <c r="F23" t="inlineStr">
        <is>
          <t xml:space="preserve">2022-07-01</t>
        </is>
      </c>
      <c r="G23" t="inlineStr">
        <is>
          <t xml:space="preserve">2022-07-01</t>
        </is>
      </c>
      <c r="H23" t="inlineStr">
        <is>
          <t xml:space="preserve">2022-10-01</t>
        </is>
      </c>
      <c r="I23" s="7">
        <v>0.054209391901067105</v>
      </c>
      <c r="J23" s="5">
        <v>1.2592619982657043</v>
      </c>
      <c r="K23" s="5">
        <v>1.525359638453834</v>
      </c>
      <c r="L23" s="7">
        <v>0.05461312021633093</v>
      </c>
      <c r="M23" s="6">
        <v>46</v>
      </c>
      <c r="N23" t="inlineStr">
        <is>
          <t xml:space="preserve">yes</t>
        </is>
      </c>
    </row>
    <row r="24">
      <c r="A24" s="6">
        <v>4</v>
      </c>
      <c r="B24" t="inlineStr">
        <is>
          <t xml:space="preserve">failed-breakout-fade</t>
        </is>
      </c>
      <c r="C24" t="inlineStr">
        <is>
          <t xml:space="preserve">defaults</t>
        </is>
      </c>
      <c r="D24" s="6">
        <v>3</v>
      </c>
      <c r="E24" t="inlineStr">
        <is>
          <t xml:space="preserve">2022-01-01</t>
        </is>
      </c>
      <c r="F24" t="inlineStr">
        <is>
          <t xml:space="preserve">2023-01-01</t>
        </is>
      </c>
      <c r="G24" t="inlineStr">
        <is>
          <t xml:space="preserve">2023-01-01</t>
        </is>
      </c>
      <c r="H24" t="inlineStr">
        <is>
          <t xml:space="preserve">2023-04-01</t>
        </is>
      </c>
      <c r="I24" s="7">
        <v>-0.021539004973421094</v>
      </c>
      <c r="J24" s="5">
        <v>0.7863465009184692</v>
      </c>
      <c r="K24" s="5">
        <v>-0.8630903216083414</v>
      </c>
      <c r="L24" s="7">
        <v>0.06760540221364135</v>
      </c>
      <c r="M24" s="6">
        <v>22</v>
      </c>
      <c r="N24" t="inlineStr">
        <is>
          <t xml:space="preserve">no</t>
        </is>
      </c>
    </row>
    <row r="25">
      <c r="A25" s="6">
        <v>4</v>
      </c>
      <c r="B25" t="inlineStr">
        <is>
          <t xml:space="preserve">failed-breakout-fade</t>
        </is>
      </c>
      <c r="C25" t="inlineStr">
        <is>
          <t xml:space="preserve">defaults</t>
        </is>
      </c>
      <c r="D25" s="6">
        <v>4</v>
      </c>
      <c r="E25" t="inlineStr">
        <is>
          <t xml:space="preserve">2022-07-01</t>
        </is>
      </c>
      <c r="F25" t="inlineStr">
        <is>
          <t xml:space="preserve">2023-07-01</t>
        </is>
      </c>
      <c r="G25" t="inlineStr">
        <is>
          <t xml:space="preserve">2023-07-01</t>
        </is>
      </c>
      <c r="H25" t="inlineStr">
        <is>
          <t xml:space="preserve">2023-10-01</t>
        </is>
      </c>
      <c r="I25" s="7">
        <v>0.00845674162827681</v>
      </c>
      <c r="J25" s="5">
        <v>1.134777688316304</v>
      </c>
      <c r="K25" s="5">
        <v>0.6307462695913512</v>
      </c>
      <c r="L25" s="7">
        <v>0.02301462604515816</v>
      </c>
      <c r="M25" s="6">
        <v>25</v>
      </c>
      <c r="N25" t="inlineStr">
        <is>
          <t xml:space="preserve">yes</t>
        </is>
      </c>
    </row>
    <row r="26">
      <c r="A26" s="6">
        <v>4</v>
      </c>
      <c r="B26" t="inlineStr">
        <is>
          <t xml:space="preserve">volume-climax-reversal</t>
        </is>
      </c>
      <c r="C26" t="inlineStr">
        <is>
          <t xml:space="preserve">defaults</t>
        </is>
      </c>
      <c r="D26" s="6">
        <v>1</v>
      </c>
      <c r="E26" t="inlineStr">
        <is>
          <t xml:space="preserve">2021-01-01</t>
        </is>
      </c>
      <c r="F26" t="inlineStr">
        <is>
          <t xml:space="preserve">2022-01-01</t>
        </is>
      </c>
      <c r="G26" t="inlineStr">
        <is>
          <t xml:space="preserve">2022-01-01</t>
        </is>
      </c>
      <c r="H26" t="inlineStr">
        <is>
          <t xml:space="preserve">2022-04-01</t>
        </is>
      </c>
      <c r="I26" s="7">
        <v>-0.11082539935069778</v>
      </c>
      <c r="J26" s="5">
        <v>0.3930578675950372</v>
      </c>
      <c r="K26" s="5">
        <v>-4.477858700519358</v>
      </c>
      <c r="L26" s="7">
        <v>0.11426152888559826</v>
      </c>
      <c r="M26" s="6">
        <v>27</v>
      </c>
      <c r="N26" t="inlineStr">
        <is>
          <t xml:space="preserve">no</t>
        </is>
      </c>
    </row>
    <row r="27">
      <c r="A27" s="6">
        <v>4</v>
      </c>
      <c r="B27" t="inlineStr">
        <is>
          <t xml:space="preserve">volume-climax-reversal</t>
        </is>
      </c>
      <c r="C27" t="inlineStr">
        <is>
          <t xml:space="preserve">defaults</t>
        </is>
      </c>
      <c r="D27" s="6">
        <v>2</v>
      </c>
      <c r="E27" t="inlineStr">
        <is>
          <t xml:space="preserve">2021-07-01</t>
        </is>
      </c>
      <c r="F27" t="inlineStr">
        <is>
          <t xml:space="preserve">2022-07-01</t>
        </is>
      </c>
      <c r="G27" t="inlineStr">
        <is>
          <t xml:space="preserve">2022-07-01</t>
        </is>
      </c>
      <c r="H27" t="inlineStr">
        <is>
          <t xml:space="preserve">2022-10-01</t>
        </is>
      </c>
      <c r="I27" s="7">
        <v>-0.0642736999156206</v>
      </c>
      <c r="J27" s="5">
        <v>0.6340294915701127</v>
      </c>
      <c r="K27" s="5">
        <v>-1.8568208251121763</v>
      </c>
      <c r="L27" s="7">
        <v>0.09548617269631533</v>
      </c>
      <c r="M27" s="6">
        <v>29</v>
      </c>
      <c r="N27" t="inlineStr">
        <is>
          <t xml:space="preserve">no</t>
        </is>
      </c>
    </row>
    <row r="28">
      <c r="A28" s="6">
        <v>4</v>
      </c>
      <c r="B28" t="inlineStr">
        <is>
          <t xml:space="preserve">volume-climax-reversal</t>
        </is>
      </c>
      <c r="C28" t="inlineStr">
        <is>
          <t xml:space="preserve">defaults</t>
        </is>
      </c>
      <c r="D28" s="6">
        <v>3</v>
      </c>
      <c r="E28" t="inlineStr">
        <is>
          <t xml:space="preserve">2022-01-01</t>
        </is>
      </c>
      <c r="F28" t="inlineStr">
        <is>
          <t xml:space="preserve">2023-01-01</t>
        </is>
      </c>
      <c r="G28" t="inlineStr">
        <is>
          <t xml:space="preserve">2023-01-01</t>
        </is>
      </c>
      <c r="H28" t="inlineStr">
        <is>
          <t xml:space="preserve">2023-04-01</t>
        </is>
      </c>
      <c r="I28" s="7">
        <v>-0.06282011838017132</v>
      </c>
      <c r="J28" s="5">
        <v>0.5485692995724686</v>
      </c>
      <c r="K28" s="5">
        <v>-2.709783356491709</v>
      </c>
      <c r="L28" s="7">
        <v>0.08710269683725408</v>
      </c>
      <c r="M28" s="6">
        <v>32</v>
      </c>
      <c r="N28" t="inlineStr">
        <is>
          <t xml:space="preserve">no</t>
        </is>
      </c>
    </row>
    <row r="29">
      <c r="A29" s="6">
        <v>4</v>
      </c>
      <c r="B29" t="inlineStr">
        <is>
          <t xml:space="preserve">volume-climax-reversal</t>
        </is>
      </c>
      <c r="C29" t="inlineStr">
        <is>
          <t xml:space="preserve">defaults</t>
        </is>
      </c>
      <c r="D29" s="6">
        <v>4</v>
      </c>
      <c r="E29" t="inlineStr">
        <is>
          <t xml:space="preserve">2022-07-01</t>
        </is>
      </c>
      <c r="F29" t="inlineStr">
        <is>
          <t xml:space="preserve">2023-07-01</t>
        </is>
      </c>
      <c r="G29" t="inlineStr">
        <is>
          <t xml:space="preserve">2023-07-01</t>
        </is>
      </c>
      <c r="H29" t="inlineStr">
        <is>
          <t xml:space="preserve">2023-10-01</t>
        </is>
      </c>
      <c r="I29" s="7">
        <v>0.0381335418137585</v>
      </c>
      <c r="J29" s="5">
        <v>1.2579005598557076</v>
      </c>
      <c r="K29" s="5">
        <v>1.180867813596503</v>
      </c>
      <c r="L29" s="7">
        <v>0.041926409348943434</v>
      </c>
      <c r="M29" s="6">
        <v>48</v>
      </c>
      <c r="N29" t="inlineStr">
        <is>
          <t xml:space="preserve">yes</t>
        </is>
      </c>
    </row>
    <row r="30">
      <c r="A30" s="6">
        <v>4</v>
      </c>
      <c r="B30" t="inlineStr">
        <is>
          <t xml:space="preserve">session-momentum</t>
        </is>
      </c>
      <c r="C30" t="inlineStr">
        <is>
          <t xml:space="preserve">defaults</t>
        </is>
      </c>
      <c r="D30" s="6">
        <v>1</v>
      </c>
      <c r="E30" t="inlineStr">
        <is>
          <t xml:space="preserve">2021-01-01</t>
        </is>
      </c>
      <c r="F30" t="inlineStr">
        <is>
          <t xml:space="preserve">2022-01-01</t>
        </is>
      </c>
      <c r="G30" t="inlineStr">
        <is>
          <t xml:space="preserve">2022-01-01</t>
        </is>
      </c>
      <c r="H30" t="inlineStr">
        <is>
          <t xml:space="preserve">2022-04-01</t>
        </is>
      </c>
      <c r="I30" s="7">
        <v>-0.01881993292128281</v>
      </c>
      <c r="J30" s="5">
        <v>0.2295147192848658</v>
      </c>
      <c r="K30" s="5">
        <v>-2.78821021416576</v>
      </c>
      <c r="L30" s="7">
        <v>0.027396704515019566</v>
      </c>
      <c r="M30" s="6">
        <v>8</v>
      </c>
      <c r="N30" t="inlineStr">
        <is>
          <t xml:space="preserve">no</t>
        </is>
      </c>
    </row>
    <row r="31">
      <c r="A31" s="6">
        <v>4</v>
      </c>
      <c r="B31" t="inlineStr">
        <is>
          <t xml:space="preserve">session-momentum</t>
        </is>
      </c>
      <c r="C31" t="inlineStr">
        <is>
          <t xml:space="preserve">defaults</t>
        </is>
      </c>
      <c r="D31" s="6">
        <v>2</v>
      </c>
      <c r="E31" t="inlineStr">
        <is>
          <t xml:space="preserve">2021-07-01</t>
        </is>
      </c>
      <c r="F31" t="inlineStr">
        <is>
          <t xml:space="preserve">2022-07-01</t>
        </is>
      </c>
      <c r="G31" t="inlineStr">
        <is>
          <t xml:space="preserve">2022-07-01</t>
        </is>
      </c>
      <c r="H31" t="inlineStr">
        <is>
          <t xml:space="preserve">2022-10-01</t>
        </is>
      </c>
      <c r="I31" s="7">
        <v>-0.03687288459780724</v>
      </c>
      <c r="J31" s="5">
        <v>0.13858334428539226</v>
      </c>
      <c r="K31" s="5">
        <v>-3.6698134530317987</v>
      </c>
      <c r="L31" s="7">
        <v>0.04306710179975484</v>
      </c>
      <c r="M31" s="6">
        <v>7</v>
      </c>
      <c r="N31" t="inlineStr">
        <is>
          <t xml:space="preserve">no</t>
        </is>
      </c>
    </row>
    <row r="32">
      <c r="A32" s="6">
        <v>4</v>
      </c>
      <c r="B32" t="inlineStr">
        <is>
          <t xml:space="preserve">session-momentum</t>
        </is>
      </c>
      <c r="C32" t="inlineStr">
        <is>
          <t xml:space="preserve">defaults</t>
        </is>
      </c>
      <c r="D32" s="6">
        <v>3</v>
      </c>
      <c r="E32" t="inlineStr">
        <is>
          <t xml:space="preserve">2022-01-01</t>
        </is>
      </c>
      <c r="F32" t="inlineStr">
        <is>
          <t xml:space="preserve">2023-01-01</t>
        </is>
      </c>
      <c r="G32" t="inlineStr">
        <is>
          <t xml:space="preserve">2023-01-01</t>
        </is>
      </c>
      <c r="H32" t="inlineStr">
        <is>
          <t xml:space="preserve">2023-04-01</t>
        </is>
      </c>
      <c r="I32" s="7">
        <v>-0.005667781340344513</v>
      </c>
      <c r="J32" s="5">
        <v>0.4919679172132019</v>
      </c>
      <c r="K32" s="5">
        <v>-1.1647719015403617</v>
      </c>
      <c r="L32" s="7">
        <v>0.01704866715786877</v>
      </c>
      <c r="M32" s="6">
        <v>6</v>
      </c>
      <c r="N32" t="inlineStr">
        <is>
          <t xml:space="preserve">no</t>
        </is>
      </c>
    </row>
    <row r="33">
      <c r="A33" s="6">
        <v>4</v>
      </c>
      <c r="B33" t="inlineStr">
        <is>
          <t xml:space="preserve">session-momentum</t>
        </is>
      </c>
      <c r="C33" t="inlineStr">
        <is>
          <t xml:space="preserve">defaults</t>
        </is>
      </c>
      <c r="D33" s="6">
        <v>4</v>
      </c>
      <c r="E33" t="inlineStr">
        <is>
          <t xml:space="preserve">2022-07-01</t>
        </is>
      </c>
      <c r="F33" t="inlineStr">
        <is>
          <t xml:space="preserve">2023-07-01</t>
        </is>
      </c>
      <c r="G33" t="inlineStr">
        <is>
          <t xml:space="preserve">2023-07-01</t>
        </is>
      </c>
      <c r="H33" t="inlineStr">
        <is>
          <t xml:space="preserve">2023-10-01</t>
        </is>
      </c>
      <c r="I33" s="7">
        <v>-0.0309092358974683</v>
      </c>
      <c r="J33" s="5">
        <v>0.0744757326883027</v>
      </c>
      <c r="K33" s="5">
        <v>-3.3147910890758814</v>
      </c>
      <c r="L33" s="7">
        <v>0.0350620686977535</v>
      </c>
      <c r="M33" s="6">
        <v>5</v>
      </c>
      <c r="N33" t="inlineStr">
        <is>
          <t xml:space="preserve">no</t>
        </is>
      </c>
    </row>
    <row r="34">
      <c r="A34" s="6">
        <v>4</v>
      </c>
      <c r="B34" t="inlineStr">
        <is>
          <t xml:space="preserve">impulse-bar-continuation</t>
        </is>
      </c>
      <c r="C34" t="inlineStr">
        <is>
          <t xml:space="preserve">defaults</t>
        </is>
      </c>
      <c r="D34" s="6">
        <v>1</v>
      </c>
      <c r="E34" t="inlineStr">
        <is>
          <t xml:space="preserve">2021-01-01</t>
        </is>
      </c>
      <c r="F34" t="inlineStr">
        <is>
          <t xml:space="preserve">2022-01-01</t>
        </is>
      </c>
      <c r="G34" t="inlineStr">
        <is>
          <t xml:space="preserve">2022-01-01</t>
        </is>
      </c>
      <c r="H34" t="inlineStr">
        <is>
          <t xml:space="preserve">2022-04-01</t>
        </is>
      </c>
      <c r="I34" s="7">
        <v>0.007272117323744887</v>
      </c>
      <c r="J34" s="5">
        <v>1.0330911345184286</v>
      </c>
      <c r="K34" s="5">
        <v>0.26628769781548306</v>
      </c>
      <c r="L34" s="7">
        <v>0.04873228269593235</v>
      </c>
      <c r="M34" s="6">
        <v>42</v>
      </c>
      <c r="N34" t="inlineStr">
        <is>
          <t xml:space="preserve">yes</t>
        </is>
      </c>
    </row>
    <row r="35">
      <c r="A35" s="6">
        <v>4</v>
      </c>
      <c r="B35" t="inlineStr">
        <is>
          <t xml:space="preserve">impulse-bar-continuation</t>
        </is>
      </c>
      <c r="C35" t="inlineStr">
        <is>
          <t xml:space="preserve">defaults</t>
        </is>
      </c>
      <c r="D35" s="6">
        <v>2</v>
      </c>
      <c r="E35" t="inlineStr">
        <is>
          <t xml:space="preserve">2021-07-01</t>
        </is>
      </c>
      <c r="F35" t="inlineStr">
        <is>
          <t xml:space="preserve">2022-07-01</t>
        </is>
      </c>
      <c r="G35" t="inlineStr">
        <is>
          <t xml:space="preserve">2022-07-01</t>
        </is>
      </c>
      <c r="H35" t="inlineStr">
        <is>
          <t xml:space="preserve">2022-10-01</t>
        </is>
      </c>
      <c r="I35" s="7">
        <v>0.03121903764361078</v>
      </c>
      <c r="J35" s="5">
        <v>1.1671070089738533</v>
      </c>
      <c r="K35" s="5">
        <v>0.8981879113854898</v>
      </c>
      <c r="L35" s="7">
        <v>0.06750382291032678</v>
      </c>
      <c r="M35" s="6">
        <v>38</v>
      </c>
      <c r="N35" t="inlineStr">
        <is>
          <t xml:space="preserve">yes</t>
        </is>
      </c>
    </row>
    <row r="36">
      <c r="A36" s="6">
        <v>4</v>
      </c>
      <c r="B36" t="inlineStr">
        <is>
          <t xml:space="preserve">impulse-bar-continuation</t>
        </is>
      </c>
      <c r="C36" t="inlineStr">
        <is>
          <t xml:space="preserve">defaults</t>
        </is>
      </c>
      <c r="D36" s="6">
        <v>3</v>
      </c>
      <c r="E36" t="inlineStr">
        <is>
          <t xml:space="preserve">2022-01-01</t>
        </is>
      </c>
      <c r="F36" t="inlineStr">
        <is>
          <t xml:space="preserve">2023-01-01</t>
        </is>
      </c>
      <c r="G36" t="inlineStr">
        <is>
          <t xml:space="preserve">2023-01-01</t>
        </is>
      </c>
      <c r="H36" t="inlineStr">
        <is>
          <t xml:space="preserve">2023-04-01</t>
        </is>
      </c>
      <c r="I36" s="7">
        <v>0.04885936916027389</v>
      </c>
      <c r="J36" s="5">
        <v>1.209009924307313</v>
      </c>
      <c r="K36" s="5">
        <v>1.086802157094487</v>
      </c>
      <c r="L36" s="7">
        <v>0.08496690918881127</v>
      </c>
      <c r="M36" s="6">
        <v>48</v>
      </c>
      <c r="N36" t="inlineStr">
        <is>
          <t xml:space="preserve">yes</t>
        </is>
      </c>
    </row>
    <row r="37">
      <c r="A37" s="6">
        <v>4</v>
      </c>
      <c r="B37" t="inlineStr">
        <is>
          <t xml:space="preserve">impulse-bar-continuation</t>
        </is>
      </c>
      <c r="C37" t="inlineStr">
        <is>
          <t xml:space="preserve">defaults</t>
        </is>
      </c>
      <c r="D37" s="6">
        <v>4</v>
      </c>
      <c r="E37" t="inlineStr">
        <is>
          <t xml:space="preserve">2022-07-01</t>
        </is>
      </c>
      <c r="F37" t="inlineStr">
        <is>
          <t xml:space="preserve">2023-07-01</t>
        </is>
      </c>
      <c r="G37" t="inlineStr">
        <is>
          <t xml:space="preserve">2023-07-01</t>
        </is>
      </c>
      <c r="H37" t="inlineStr">
        <is>
          <t xml:space="preserve">2023-10-01</t>
        </is>
      </c>
      <c r="I37" s="7">
        <v>-0.04629724692826597</v>
      </c>
      <c r="J37" s="5">
        <v>0.7307407286007632</v>
      </c>
      <c r="K37" s="5">
        <v>-1.391008334552642</v>
      </c>
      <c r="L37" s="7">
        <v>0.07838616759106962</v>
      </c>
      <c r="M37" s="6">
        <v>41</v>
      </c>
      <c r="N37" t="inlineStr">
        <is>
          <t xml:space="preserve">no</t>
        </is>
      </c>
    </row>
    <row r="38">
      <c r="A38" s="6">
        <v>4</v>
      </c>
      <c r="B38" t="inlineStr">
        <is>
          <t xml:space="preserve">vol-regime-switch</t>
        </is>
      </c>
      <c r="C38" t="inlineStr">
        <is>
          <t xml:space="preserve">defaults</t>
        </is>
      </c>
      <c r="D38" s="6">
        <v>1</v>
      </c>
      <c r="E38" t="inlineStr">
        <is>
          <t xml:space="preserve">2021-01-01</t>
        </is>
      </c>
      <c r="F38" t="inlineStr">
        <is>
          <t xml:space="preserve">2022-01-01</t>
        </is>
      </c>
      <c r="G38" t="inlineStr">
        <is>
          <t xml:space="preserve">2022-01-01</t>
        </is>
      </c>
      <c r="H38" t="inlineStr">
        <is>
          <t xml:space="preserve">2022-04-01</t>
        </is>
      </c>
      <c r="I38" s="7">
        <v>0.14433783280207413</v>
      </c>
      <c r="J38" s="5">
        <v>1.8348928831557718</v>
      </c>
      <c r="K38" s="5">
        <v>2.8955060076077213</v>
      </c>
      <c r="L38" s="7">
        <v>0.0568004680533874</v>
      </c>
      <c r="M38" s="6">
        <v>32</v>
      </c>
      <c r="N38" t="inlineStr">
        <is>
          <t xml:space="preserve">yes</t>
        </is>
      </c>
    </row>
    <row r="39">
      <c r="A39" s="6">
        <v>4</v>
      </c>
      <c r="B39" t="inlineStr">
        <is>
          <t xml:space="preserve">vol-regime-switch</t>
        </is>
      </c>
      <c r="C39" t="inlineStr">
        <is>
          <t xml:space="preserve">defaults</t>
        </is>
      </c>
      <c r="D39" s="6">
        <v>2</v>
      </c>
      <c r="E39" t="inlineStr">
        <is>
          <t xml:space="preserve">2021-07-01</t>
        </is>
      </c>
      <c r="F39" t="inlineStr">
        <is>
          <t xml:space="preserve">2022-07-01</t>
        </is>
      </c>
      <c r="G39" t="inlineStr">
        <is>
          <t xml:space="preserve">2022-07-01</t>
        </is>
      </c>
      <c r="H39" t="inlineStr">
        <is>
          <t xml:space="preserve">2022-10-01</t>
        </is>
      </c>
      <c r="I39" s="7">
        <v>-0.07191518833783994</v>
      </c>
      <c r="J39" s="5">
        <v>0.6788597917573256</v>
      </c>
      <c r="K39" s="5">
        <v>-1.8270676339807663</v>
      </c>
      <c r="L39" s="7">
        <v>0.11522610463972742</v>
      </c>
      <c r="M39" s="6">
        <v>42</v>
      </c>
      <c r="N39" t="inlineStr">
        <is>
          <t xml:space="preserve">no</t>
        </is>
      </c>
    </row>
    <row r="40">
      <c r="A40" s="6">
        <v>4</v>
      </c>
      <c r="B40" t="inlineStr">
        <is>
          <t xml:space="preserve">vol-regime-switch</t>
        </is>
      </c>
      <c r="C40" t="inlineStr">
        <is>
          <t xml:space="preserve">defaults</t>
        </is>
      </c>
      <c r="D40" s="6">
        <v>3</v>
      </c>
      <c r="E40" t="inlineStr">
        <is>
          <t xml:space="preserve">2022-01-01</t>
        </is>
      </c>
      <c r="F40" t="inlineStr">
        <is>
          <t xml:space="preserve">2023-01-01</t>
        </is>
      </c>
      <c r="G40" t="inlineStr">
        <is>
          <t xml:space="preserve">2023-01-01</t>
        </is>
      </c>
      <c r="H40" t="inlineStr">
        <is>
          <t xml:space="preserve">2023-04-01</t>
        </is>
      </c>
      <c r="I40" s="7">
        <v>0.18657477718923432</v>
      </c>
      <c r="J40" s="5">
        <v>2.650985011660736</v>
      </c>
      <c r="K40" s="5">
        <v>3.714014619256824</v>
      </c>
      <c r="L40" s="7">
        <v>0.04211041338950359</v>
      </c>
      <c r="M40" s="6">
        <v>27</v>
      </c>
      <c r="N40" t="inlineStr">
        <is>
          <t xml:space="preserve">yes</t>
        </is>
      </c>
    </row>
    <row r="41">
      <c r="A41" s="6">
        <v>4</v>
      </c>
      <c r="B41" t="inlineStr">
        <is>
          <t xml:space="preserve">vol-regime-switch</t>
        </is>
      </c>
      <c r="C41" t="inlineStr">
        <is>
          <t xml:space="preserve">defaults</t>
        </is>
      </c>
      <c r="D41" s="6">
        <v>4</v>
      </c>
      <c r="E41" t="inlineStr">
        <is>
          <t xml:space="preserve">2022-07-01</t>
        </is>
      </c>
      <c r="F41" t="inlineStr">
        <is>
          <t xml:space="preserve">2023-07-01</t>
        </is>
      </c>
      <c r="G41" t="inlineStr">
        <is>
          <t xml:space="preserve">2023-07-01</t>
        </is>
      </c>
      <c r="H41" t="inlineStr">
        <is>
          <t xml:space="preserve">2023-10-01</t>
        </is>
      </c>
      <c r="I41" s="7">
        <v>0.027698524843723815</v>
      </c>
      <c r="J41" s="5">
        <v>1.2500187077107117</v>
      </c>
      <c r="K41" s="5">
        <v>0.7029088637276635</v>
      </c>
      <c r="L41" s="7">
        <v>0.04262967928872597</v>
      </c>
      <c r="M41" s="6">
        <v>23</v>
      </c>
      <c r="N41" t="inlineStr">
        <is>
          <t xml:space="preserve">yes</t>
        </is>
      </c>
    </row>
    <row r="42">
      <c r="A42" s="6">
        <v>5</v>
      </c>
      <c r="B42" t="inlineStr">
        <is>
          <t xml:space="preserve">donchian-ensemble-trend</t>
        </is>
      </c>
      <c r="C42" t="inlineStr">
        <is>
          <t xml:space="preserve">defaults</t>
        </is>
      </c>
      <c r="D42" s="6">
        <v>1</v>
      </c>
      <c r="E42" t="inlineStr">
        <is>
          <t xml:space="preserve">2021-01-01</t>
        </is>
      </c>
      <c r="F42" t="inlineStr">
        <is>
          <t xml:space="preserve">2022-01-01</t>
        </is>
      </c>
      <c r="G42" t="inlineStr">
        <is>
          <t xml:space="preserve">2022-01-01</t>
        </is>
      </c>
      <c r="H42" t="inlineStr">
        <is>
          <t xml:space="preserve">2022-04-01</t>
        </is>
      </c>
      <c r="I42" s="7">
        <v>0.007914768641857028</v>
      </c>
      <c r="J42" s="5">
        <v>1.291118177372577</v>
      </c>
      <c r="K42" s="5">
        <v>0.7291744325658076</v>
      </c>
      <c r="L42" s="7">
        <v>0.03130273525199486</v>
      </c>
      <c r="M42" s="6">
        <v>12</v>
      </c>
      <c r="N42" t="inlineStr">
        <is>
          <t xml:space="preserve">yes</t>
        </is>
      </c>
    </row>
    <row r="43">
      <c r="A43" s="6">
        <v>5</v>
      </c>
      <c r="B43" t="inlineStr">
        <is>
          <t xml:space="preserve">donchian-ensemble-trend</t>
        </is>
      </c>
      <c r="C43" t="inlineStr">
        <is>
          <t xml:space="preserve">defaults</t>
        </is>
      </c>
      <c r="D43" s="6">
        <v>2</v>
      </c>
      <c r="E43" t="inlineStr">
        <is>
          <t xml:space="preserve">2021-07-01</t>
        </is>
      </c>
      <c r="F43" t="inlineStr">
        <is>
          <t xml:space="preserve">2022-07-01</t>
        </is>
      </c>
      <c r="G43" t="inlineStr">
        <is>
          <t xml:space="preserve">2022-07-01</t>
        </is>
      </c>
      <c r="H43" t="inlineStr">
        <is>
          <t xml:space="preserve">2022-10-01</t>
        </is>
      </c>
      <c r="I43" s="7">
        <v>-0.027916378559834087</v>
      </c>
      <c r="J43" s="5">
        <v>0.36467167514468934</v>
      </c>
      <c r="K43" s="5">
        <v>-2.162457682073233</v>
      </c>
      <c r="L43" s="7">
        <v>0.03199882668014588</v>
      </c>
      <c r="M43" s="6">
        <v>13</v>
      </c>
      <c r="N43" t="inlineStr">
        <is>
          <t xml:space="preserve">no</t>
        </is>
      </c>
    </row>
    <row r="44">
      <c r="A44" s="6">
        <v>5</v>
      </c>
      <c r="B44" t="inlineStr">
        <is>
          <t xml:space="preserve">donchian-ensemble-trend</t>
        </is>
      </c>
      <c r="C44" t="inlineStr">
        <is>
          <t xml:space="preserve">defaults</t>
        </is>
      </c>
      <c r="D44" s="6">
        <v>3</v>
      </c>
      <c r="E44" t="inlineStr">
        <is>
          <t xml:space="preserve">2022-01-01</t>
        </is>
      </c>
      <c r="F44" t="inlineStr">
        <is>
          <t xml:space="preserve">2023-01-01</t>
        </is>
      </c>
      <c r="G44" t="inlineStr">
        <is>
          <t xml:space="preserve">2023-01-01</t>
        </is>
      </c>
      <c r="H44" t="inlineStr">
        <is>
          <t xml:space="preserve">2023-04-01</t>
        </is>
      </c>
      <c r="I44" s="7">
        <v>0.09474187147797553</v>
      </c>
      <c r="J44" s="5">
        <v>6.2918078422869055</v>
      </c>
      <c r="K44" s="5">
        <v>3.6815613853054607</v>
      </c>
      <c r="L44" s="7">
        <v>0.03853463105752097</v>
      </c>
      <c r="M44" s="6">
        <v>9</v>
      </c>
      <c r="N44" t="inlineStr">
        <is>
          <t xml:space="preserve">yes</t>
        </is>
      </c>
    </row>
    <row r="45">
      <c r="A45" s="6">
        <v>5</v>
      </c>
      <c r="B45" t="inlineStr">
        <is>
          <t xml:space="preserve">donchian-ensemble-trend</t>
        </is>
      </c>
      <c r="C45" t="inlineStr">
        <is>
          <t xml:space="preserve">defaults</t>
        </is>
      </c>
      <c r="D45" s="6">
        <v>4</v>
      </c>
      <c r="E45" t="inlineStr">
        <is>
          <t xml:space="preserve">2022-07-01</t>
        </is>
      </c>
      <c r="F45" t="inlineStr">
        <is>
          <t xml:space="preserve">2023-07-01</t>
        </is>
      </c>
      <c r="G45" t="inlineStr">
        <is>
          <t xml:space="preserve">2023-07-01</t>
        </is>
      </c>
      <c r="H45" t="inlineStr">
        <is>
          <t xml:space="preserve">2023-10-01</t>
        </is>
      </c>
      <c r="I45" s="7">
        <v>-0.04547211497240755</v>
      </c>
      <c r="J45" s="5">
        <v>0.2942883356302433</v>
      </c>
      <c r="K45" s="5">
        <v>-3.4879369204038846</v>
      </c>
      <c r="L45" s="7">
        <v>0.048529237805403455</v>
      </c>
      <c r="M45" s="6">
        <v>14</v>
      </c>
      <c r="N45" t="inlineStr">
        <is>
          <t xml:space="preserve">no</t>
        </is>
      </c>
    </row>
    <row r="46">
      <c r="A46" s="6">
        <v>5</v>
      </c>
      <c r="B46" t="inlineStr">
        <is>
          <t xml:space="preserve">funding-crowding-fade</t>
        </is>
      </c>
      <c r="C46" t="inlineStr">
        <is>
          <t xml:space="preserve">defaults</t>
        </is>
      </c>
      <c r="D46" s="6">
        <v>1</v>
      </c>
      <c r="E46" t="inlineStr">
        <is>
          <t xml:space="preserve">2021-01-01</t>
        </is>
      </c>
      <c r="F46" t="inlineStr">
        <is>
          <t xml:space="preserve">2022-01-01</t>
        </is>
      </c>
      <c r="G46" t="inlineStr">
        <is>
          <t xml:space="preserve">2022-01-01</t>
        </is>
      </c>
      <c r="H46" t="inlineStr">
        <is>
          <t xml:space="preserve">2022-04-01</t>
        </is>
      </c>
      <c r="I46" s="7">
        <v>0.03357751482412974</v>
      </c>
      <c r="J46" s="5">
        <v>2.146589721792101</v>
      </c>
      <c r="K46" s="5">
        <v>2.728655836169687</v>
      </c>
      <c r="L46" s="7">
        <v>0.022806111890330983</v>
      </c>
      <c r="M46" s="6">
        <v>13</v>
      </c>
      <c r="N46" t="inlineStr">
        <is>
          <t xml:space="preserve">yes</t>
        </is>
      </c>
    </row>
    <row r="47">
      <c r="A47" s="6">
        <v>5</v>
      </c>
      <c r="B47" t="inlineStr">
        <is>
          <t xml:space="preserve">funding-crowding-fade</t>
        </is>
      </c>
      <c r="C47" t="inlineStr">
        <is>
          <t xml:space="preserve">defaults</t>
        </is>
      </c>
      <c r="D47" s="6">
        <v>2</v>
      </c>
      <c r="E47" t="inlineStr">
        <is>
          <t xml:space="preserve">2021-07-01</t>
        </is>
      </c>
      <c r="F47" t="inlineStr">
        <is>
          <t xml:space="preserve">2022-07-01</t>
        </is>
      </c>
      <c r="G47" t="inlineStr">
        <is>
          <t xml:space="preserve">2022-07-01</t>
        </is>
      </c>
      <c r="H47" t="inlineStr">
        <is>
          <t xml:space="preserve">2022-10-01</t>
        </is>
      </c>
      <c r="I47" s="7">
        <v>-0.009256558018656325</v>
      </c>
      <c r="J47" s="5">
        <v>0.827533010672756</v>
      </c>
      <c r="K47" s="5">
        <v>-0.5388611119918226</v>
      </c>
      <c r="L47" s="7">
        <v>0.025238153687425255</v>
      </c>
      <c r="M47" s="6">
        <v>19</v>
      </c>
      <c r="N47" t="inlineStr">
        <is>
          <t xml:space="preserve">no</t>
        </is>
      </c>
    </row>
    <row r="48">
      <c r="A48" s="6">
        <v>5</v>
      </c>
      <c r="B48" t="inlineStr">
        <is>
          <t xml:space="preserve">funding-crowding-fade</t>
        </is>
      </c>
      <c r="C48" t="inlineStr">
        <is>
          <t xml:space="preserve">defaults</t>
        </is>
      </c>
      <c r="D48" s="6">
        <v>3</v>
      </c>
      <c r="E48" t="inlineStr">
        <is>
          <t xml:space="preserve">2022-01-01</t>
        </is>
      </c>
      <c r="F48" t="inlineStr">
        <is>
          <t xml:space="preserve">2023-01-01</t>
        </is>
      </c>
      <c r="G48" t="inlineStr">
        <is>
          <t xml:space="preserve">2023-01-01</t>
        </is>
      </c>
      <c r="H48" t="inlineStr">
        <is>
          <t xml:space="preserve">2023-04-01</t>
        </is>
      </c>
      <c r="I48" s="7">
        <v>0.055255293778658565</v>
      </c>
      <c r="J48" s="5">
        <v>2.329674721483262</v>
      </c>
      <c r="K48" s="5">
        <v>2.508790352475433</v>
      </c>
      <c r="L48" s="7">
        <v>0.03386435795854024</v>
      </c>
      <c r="M48" s="6">
        <v>14</v>
      </c>
      <c r="N48" t="inlineStr">
        <is>
          <t xml:space="preserve">yes</t>
        </is>
      </c>
    </row>
    <row r="49">
      <c r="A49" s="6">
        <v>5</v>
      </c>
      <c r="B49" t="inlineStr">
        <is>
          <t xml:space="preserve">funding-crowding-fade</t>
        </is>
      </c>
      <c r="C49" t="inlineStr">
        <is>
          <t xml:space="preserve">defaults</t>
        </is>
      </c>
      <c r="D49" s="6">
        <v>4</v>
      </c>
      <c r="E49" t="inlineStr">
        <is>
          <t xml:space="preserve">2022-07-01</t>
        </is>
      </c>
      <c r="F49" t="inlineStr">
        <is>
          <t xml:space="preserve">2023-07-01</t>
        </is>
      </c>
      <c r="G49" t="inlineStr">
        <is>
          <t xml:space="preserve">2023-07-01</t>
        </is>
      </c>
      <c r="H49" t="inlineStr">
        <is>
          <t xml:space="preserve">2023-10-01</t>
        </is>
      </c>
      <c r="I49" s="7">
        <v>0.021720418723419233</v>
      </c>
      <c r="J49" s="5">
        <v>1.7219709177482905</v>
      </c>
      <c r="K49" s="5">
        <v>1.1618766006152836</v>
      </c>
      <c r="L49" s="7">
        <v>0.024898836189776424</v>
      </c>
      <c r="M49" s="6">
        <v>19</v>
      </c>
      <c r="N49" t="inlineStr">
        <is>
          <t xml:space="preserve">yes</t>
        </is>
      </c>
    </row>
    <row r="50">
      <c r="A50" s="6">
        <v>5</v>
      </c>
      <c r="B50" t="inlineStr">
        <is>
          <t xml:space="preserve">noise-area-momentum</t>
        </is>
      </c>
      <c r="C50" t="inlineStr">
        <is>
          <t xml:space="preserve">defaults</t>
        </is>
      </c>
      <c r="D50" s="6">
        <v>1</v>
      </c>
      <c r="E50" t="inlineStr">
        <is>
          <t xml:space="preserve">2021-01-01</t>
        </is>
      </c>
      <c r="F50" t="inlineStr">
        <is>
          <t xml:space="preserve">2022-01-01</t>
        </is>
      </c>
      <c r="G50" t="inlineStr">
        <is>
          <t xml:space="preserve">2022-01-01</t>
        </is>
      </c>
      <c r="H50" t="inlineStr">
        <is>
          <t xml:space="preserve">2022-04-01</t>
        </is>
      </c>
      <c r="I50" s="7">
        <v>0.025603166316091164</v>
      </c>
      <c r="J50" s="5">
        <v>1.1209202773295581</v>
      </c>
      <c r="K50" s="5">
        <v>0.6033199511583424</v>
      </c>
      <c r="L50" s="7">
        <v>0.06228007683594084</v>
      </c>
      <c r="M50" s="6">
        <v>69</v>
      </c>
      <c r="N50" t="inlineStr">
        <is>
          <t xml:space="preserve">yes</t>
        </is>
      </c>
    </row>
    <row r="51">
      <c r="A51" s="6">
        <v>5</v>
      </c>
      <c r="B51" t="inlineStr">
        <is>
          <t xml:space="preserve">noise-area-momentum</t>
        </is>
      </c>
      <c r="C51" t="inlineStr">
        <is>
          <t xml:space="preserve">defaults</t>
        </is>
      </c>
      <c r="D51" s="6">
        <v>2</v>
      </c>
      <c r="E51" t="inlineStr">
        <is>
          <t xml:space="preserve">2021-07-01</t>
        </is>
      </c>
      <c r="F51" t="inlineStr">
        <is>
          <t xml:space="preserve">2022-07-01</t>
        </is>
      </c>
      <c r="G51" t="inlineStr">
        <is>
          <t xml:space="preserve">2022-07-01</t>
        </is>
      </c>
      <c r="H51" t="inlineStr">
        <is>
          <t xml:space="preserve">2022-10-01</t>
        </is>
      </c>
      <c r="I51" s="7">
        <v>-0.15240193102348554</v>
      </c>
      <c r="J51" s="5">
        <v>0.4293070786612817</v>
      </c>
      <c r="K51" s="5">
        <v>-4.408553807757355</v>
      </c>
      <c r="L51" s="7">
        <v>0.15240193102348548</v>
      </c>
      <c r="M51" s="6">
        <v>76</v>
      </c>
      <c r="N51" t="inlineStr">
        <is>
          <t xml:space="preserve">no</t>
        </is>
      </c>
    </row>
    <row r="52">
      <c r="A52" s="6">
        <v>5</v>
      </c>
      <c r="B52" t="inlineStr">
        <is>
          <t xml:space="preserve">noise-area-momentum</t>
        </is>
      </c>
      <c r="C52" t="inlineStr">
        <is>
          <t xml:space="preserve">defaults</t>
        </is>
      </c>
      <c r="D52" s="6">
        <v>3</v>
      </c>
      <c r="E52" t="inlineStr">
        <is>
          <t xml:space="preserve">2022-01-01</t>
        </is>
      </c>
      <c r="F52" t="inlineStr">
        <is>
          <t xml:space="preserve">2023-01-01</t>
        </is>
      </c>
      <c r="G52" t="inlineStr">
        <is>
          <t xml:space="preserve">2023-01-01</t>
        </is>
      </c>
      <c r="H52" t="inlineStr">
        <is>
          <t xml:space="preserve">2023-04-01</t>
        </is>
      </c>
      <c r="I52" s="7">
        <v>-0.01207965676570344</v>
      </c>
      <c r="J52" s="5">
        <v>0.9452510080240567</v>
      </c>
      <c r="K52" s="5">
        <v>-0.1754910357318869</v>
      </c>
      <c r="L52" s="7">
        <v>0.07036548488507496</v>
      </c>
      <c r="M52" s="6">
        <v>73</v>
      </c>
      <c r="N52" t="inlineStr">
        <is>
          <t xml:space="preserve">no</t>
        </is>
      </c>
    </row>
    <row r="53">
      <c r="A53" s="6">
        <v>5</v>
      </c>
      <c r="B53" t="inlineStr">
        <is>
          <t xml:space="preserve">noise-area-momentum</t>
        </is>
      </c>
      <c r="C53" t="inlineStr">
        <is>
          <t xml:space="preserve">defaults</t>
        </is>
      </c>
      <c r="D53" s="6">
        <v>4</v>
      </c>
      <c r="E53" t="inlineStr">
        <is>
          <t xml:space="preserve">2022-07-01</t>
        </is>
      </c>
      <c r="F53" t="inlineStr">
        <is>
          <t xml:space="preserve">2023-07-01</t>
        </is>
      </c>
      <c r="G53" t="inlineStr">
        <is>
          <t xml:space="preserve">2023-07-01</t>
        </is>
      </c>
      <c r="H53" t="inlineStr">
        <is>
          <t xml:space="preserve">2023-10-01</t>
        </is>
      </c>
      <c r="I53" s="7">
        <v>-0.15810910617094065</v>
      </c>
      <c r="J53" s="5">
        <v>0.05081707999959997</v>
      </c>
      <c r="K53" s="5">
        <v>-19.56321456659537</v>
      </c>
      <c r="L53" s="7">
        <v>0.1707230832352945</v>
      </c>
      <c r="M53" s="6">
        <v>73</v>
      </c>
      <c r="N53" t="inlineStr">
        <is>
          <t xml:space="preserve">no</t>
        </is>
      </c>
    </row>
    <row r="54">
      <c r="A54" s="6">
        <v>5</v>
      </c>
      <c r="B54" t="inlineStr">
        <is>
          <t xml:space="preserve">nr-compression-breakout</t>
        </is>
      </c>
      <c r="C54" t="inlineStr">
        <is>
          <t xml:space="preserve">defaults</t>
        </is>
      </c>
      <c r="D54" s="6">
        <v>1</v>
      </c>
      <c r="E54" t="inlineStr">
        <is>
          <t xml:space="preserve">2021-01-01</t>
        </is>
      </c>
      <c r="F54" t="inlineStr">
        <is>
          <t xml:space="preserve">2022-01-01</t>
        </is>
      </c>
      <c r="G54" t="inlineStr">
        <is>
          <t xml:space="preserve">2022-01-01</t>
        </is>
      </c>
      <c r="H54" t="inlineStr">
        <is>
          <t xml:space="preserve">2022-04-01</t>
        </is>
      </c>
      <c r="I54" s="7">
        <v>0.022628201570118245</v>
      </c>
      <c r="J54" s="5">
        <v>1.3076145236023657</v>
      </c>
      <c r="K54" s="5">
        <v>0.8922956743987471</v>
      </c>
      <c r="L54" s="7">
        <v>0.0356673342119617</v>
      </c>
      <c r="M54" s="6">
        <v>18</v>
      </c>
      <c r="N54" t="inlineStr">
        <is>
          <t xml:space="preserve">yes</t>
        </is>
      </c>
    </row>
    <row r="55">
      <c r="A55" s="6">
        <v>5</v>
      </c>
      <c r="B55" t="inlineStr">
        <is>
          <t xml:space="preserve">nr-compression-breakout</t>
        </is>
      </c>
      <c r="C55" t="inlineStr">
        <is>
          <t xml:space="preserve">defaults</t>
        </is>
      </c>
      <c r="D55" s="6">
        <v>2</v>
      </c>
      <c r="E55" t="inlineStr">
        <is>
          <t xml:space="preserve">2021-07-01</t>
        </is>
      </c>
      <c r="F55" t="inlineStr">
        <is>
          <t xml:space="preserve">2022-07-01</t>
        </is>
      </c>
      <c r="G55" t="inlineStr">
        <is>
          <t xml:space="preserve">2022-07-01</t>
        </is>
      </c>
      <c r="H55" t="inlineStr">
        <is>
          <t xml:space="preserve">2022-10-01</t>
        </is>
      </c>
      <c r="I55" s="7">
        <v>-0.006532313419498004</v>
      </c>
      <c r="J55" s="5">
        <v>0.9343493457321945</v>
      </c>
      <c r="K55" s="5">
        <v>-0.20358649841477514</v>
      </c>
      <c r="L55" s="7">
        <v>0.05733420499617003</v>
      </c>
      <c r="M55" s="6">
        <v>19</v>
      </c>
      <c r="N55" t="inlineStr">
        <is>
          <t xml:space="preserve">no</t>
        </is>
      </c>
    </row>
    <row r="56">
      <c r="A56" s="6">
        <v>5</v>
      </c>
      <c r="B56" t="inlineStr">
        <is>
          <t xml:space="preserve">nr-compression-breakout</t>
        </is>
      </c>
      <c r="C56" t="inlineStr">
        <is>
          <t xml:space="preserve">defaults</t>
        </is>
      </c>
      <c r="D56" s="6">
        <v>3</v>
      </c>
      <c r="E56" t="inlineStr">
        <is>
          <t xml:space="preserve">2022-01-01</t>
        </is>
      </c>
      <c r="F56" t="inlineStr">
        <is>
          <t xml:space="preserve">2023-01-01</t>
        </is>
      </c>
      <c r="G56" t="inlineStr">
        <is>
          <t xml:space="preserve">2023-01-01</t>
        </is>
      </c>
      <c r="H56" t="inlineStr">
        <is>
          <t xml:space="preserve">2023-04-01</t>
        </is>
      </c>
      <c r="I56" s="7">
        <v>0.008622299426648272</v>
      </c>
      <c r="J56" s="5">
        <v>1.1283633070436692</v>
      </c>
      <c r="K56" s="5">
        <v>0.4856487121315968</v>
      </c>
      <c r="L56" s="7">
        <v>0.03408806510677523</v>
      </c>
      <c r="M56" s="6">
        <v>16</v>
      </c>
      <c r="N56" t="inlineStr">
        <is>
          <t xml:space="preserve">yes</t>
        </is>
      </c>
    </row>
    <row r="57">
      <c r="A57" s="6">
        <v>5</v>
      </c>
      <c r="B57" t="inlineStr">
        <is>
          <t xml:space="preserve">nr-compression-breakout</t>
        </is>
      </c>
      <c r="C57" t="inlineStr">
        <is>
          <t xml:space="preserve">defaults</t>
        </is>
      </c>
      <c r="D57" s="6">
        <v>4</v>
      </c>
      <c r="E57" t="inlineStr">
        <is>
          <t xml:space="preserve">2022-07-01</t>
        </is>
      </c>
      <c r="F57" t="inlineStr">
        <is>
          <t xml:space="preserve">2023-07-01</t>
        </is>
      </c>
      <c r="G57" t="inlineStr">
        <is>
          <t xml:space="preserve">2023-07-01</t>
        </is>
      </c>
      <c r="H57" t="inlineStr">
        <is>
          <t xml:space="preserve">2023-10-01</t>
        </is>
      </c>
      <c r="I57" s="7">
        <v>-0.06998348923321318</v>
      </c>
      <c r="J57" s="5">
        <v>0.038891537823068506</v>
      </c>
      <c r="K57" s="5">
        <v>-6.961801217471765</v>
      </c>
      <c r="L57" s="7">
        <v>0.07044237948061245</v>
      </c>
      <c r="M57" s="6">
        <v>11</v>
      </c>
      <c r="N57" t="inlineStr">
        <is>
          <t xml:space="preserve">no</t>
        </is>
      </c>
    </row>
    <row r="58">
      <c r="A58" s="6">
        <v>5</v>
      </c>
      <c r="B58" t="inlineStr">
        <is>
          <t xml:space="preserve">tsmom-vote</t>
        </is>
      </c>
      <c r="C58" t="inlineStr">
        <is>
          <t xml:space="preserve">defaults</t>
        </is>
      </c>
      <c r="D58" s="6">
        <v>1</v>
      </c>
      <c r="E58" t="inlineStr">
        <is>
          <t xml:space="preserve">2021-01-01</t>
        </is>
      </c>
      <c r="F58" t="inlineStr">
        <is>
          <t xml:space="preserve">2022-01-01</t>
        </is>
      </c>
      <c r="G58" t="inlineStr">
        <is>
          <t xml:space="preserve">2022-01-01</t>
        </is>
      </c>
      <c r="H58" t="inlineStr">
        <is>
          <t xml:space="preserve">2022-04-01</t>
        </is>
      </c>
      <c r="I58" s="7">
        <v>-0.027941605400522485</v>
      </c>
      <c r="J58" s="5">
        <v>0.49180260541286364</v>
      </c>
      <c r="K58" s="5">
        <v>-1.963310702801912</v>
      </c>
      <c r="L58" s="7">
        <v>0.06420708351700188</v>
      </c>
      <c r="M58" s="6">
        <v>16</v>
      </c>
      <c r="N58" t="inlineStr">
        <is>
          <t xml:space="preserve">no</t>
        </is>
      </c>
    </row>
    <row r="59">
      <c r="A59" s="6">
        <v>5</v>
      </c>
      <c r="B59" t="inlineStr">
        <is>
          <t xml:space="preserve">tsmom-vote</t>
        </is>
      </c>
      <c r="C59" t="inlineStr">
        <is>
          <t xml:space="preserve">defaults</t>
        </is>
      </c>
      <c r="D59" s="6">
        <v>2</v>
      </c>
      <c r="E59" t="inlineStr">
        <is>
          <t xml:space="preserve">2021-07-01</t>
        </is>
      </c>
      <c r="F59" t="inlineStr">
        <is>
          <t xml:space="preserve">2022-07-01</t>
        </is>
      </c>
      <c r="G59" t="inlineStr">
        <is>
          <t xml:space="preserve">2022-07-01</t>
        </is>
      </c>
      <c r="H59" t="inlineStr">
        <is>
          <t xml:space="preserve">2022-10-01</t>
        </is>
      </c>
      <c r="I59" s="7">
        <v>-0.012779394216929751</v>
      </c>
      <c r="J59" s="5">
        <v>0.5827259970821739</v>
      </c>
      <c r="K59" s="5">
        <v>-0.8654960213804158</v>
      </c>
      <c r="L59" s="7">
        <v>0.025802900243076278</v>
      </c>
      <c r="M59" s="6">
        <v>14</v>
      </c>
      <c r="N59" t="inlineStr">
        <is>
          <t xml:space="preserve">no</t>
        </is>
      </c>
    </row>
    <row r="60">
      <c r="A60" s="6">
        <v>5</v>
      </c>
      <c r="B60" t="inlineStr">
        <is>
          <t xml:space="preserve">tsmom-vote</t>
        </is>
      </c>
      <c r="C60" t="inlineStr">
        <is>
          <t xml:space="preserve">defaults</t>
        </is>
      </c>
      <c r="D60" s="6">
        <v>3</v>
      </c>
      <c r="E60" t="inlineStr">
        <is>
          <t xml:space="preserve">2022-01-01</t>
        </is>
      </c>
      <c r="F60" t="inlineStr">
        <is>
          <t xml:space="preserve">2023-01-01</t>
        </is>
      </c>
      <c r="G60" t="inlineStr">
        <is>
          <t xml:space="preserve">2023-01-01</t>
        </is>
      </c>
      <c r="H60" t="inlineStr">
        <is>
          <t xml:space="preserve">2023-04-01</t>
        </is>
      </c>
      <c r="I60" s="7">
        <v>0.05894173824030813</v>
      </c>
      <c r="J60" s="5">
        <v>2.2295987704827946</v>
      </c>
      <c r="K60" s="5">
        <v>2.2563538577473703</v>
      </c>
      <c r="L60" s="7">
        <v>0.057490163519330985</v>
      </c>
      <c r="M60" s="6">
        <v>14</v>
      </c>
      <c r="N60" t="inlineStr">
        <is>
          <t xml:space="preserve">yes</t>
        </is>
      </c>
    </row>
    <row r="61">
      <c r="A61" s="6">
        <v>5</v>
      </c>
      <c r="B61" t="inlineStr">
        <is>
          <t xml:space="preserve">tsmom-vote</t>
        </is>
      </c>
      <c r="C61" t="inlineStr">
        <is>
          <t xml:space="preserve">defaults</t>
        </is>
      </c>
      <c r="D61" s="6">
        <v>4</v>
      </c>
      <c r="E61" t="inlineStr">
        <is>
          <t xml:space="preserve">2022-07-01</t>
        </is>
      </c>
      <c r="F61" t="inlineStr">
        <is>
          <t xml:space="preserve">2023-07-01</t>
        </is>
      </c>
      <c r="G61" t="inlineStr">
        <is>
          <t xml:space="preserve">2023-07-01</t>
        </is>
      </c>
      <c r="H61" t="inlineStr">
        <is>
          <t xml:space="preserve">2023-10-01</t>
        </is>
      </c>
      <c r="I61" s="7">
        <v>-0.024693601781402896</v>
      </c>
      <c r="J61" s="5">
        <v>0.39879925977147684</v>
      </c>
      <c r="K61" s="5">
        <v>-1.5576963909551325</v>
      </c>
      <c r="L61" s="7">
        <v>0.041987142578200715</v>
      </c>
      <c r="M61" s="6">
        <v>17</v>
      </c>
      <c r="N61" t="inlineStr">
        <is>
          <t xml:space="preserve">no</t>
        </is>
      </c>
    </row>
    <row r="62">
      <c r="A62" s="6">
        <v>6</v>
      </c>
      <c r="B62" t="inlineStr">
        <is>
          <t xml:space="preserve">max-min-daily</t>
        </is>
      </c>
      <c r="C62" t="inlineStr">
        <is>
          <t xml:space="preserve">defaults</t>
        </is>
      </c>
      <c r="D62" s="6">
        <v>1</v>
      </c>
      <c r="E62" t="inlineStr">
        <is>
          <t xml:space="preserve">2021-01-01</t>
        </is>
      </c>
      <c r="F62" t="inlineStr">
        <is>
          <t xml:space="preserve">2022-01-01</t>
        </is>
      </c>
      <c r="G62" t="inlineStr">
        <is>
          <t xml:space="preserve">2022-01-01</t>
        </is>
      </c>
      <c r="H62" t="inlineStr">
        <is>
          <t xml:space="preserve">2022-04-01</t>
        </is>
      </c>
      <c r="I62" s="7">
        <v>-0.011818216122159941</v>
      </c>
      <c r="J62" s="5">
        <v>0.6086926145642324</v>
      </c>
      <c r="K62" s="5">
        <v>-1.487818442408624</v>
      </c>
      <c r="L62" s="7">
        <v>0.031265226750050334</v>
      </c>
      <c r="M62" s="6">
        <v>14</v>
      </c>
      <c r="N62" t="inlineStr">
        <is>
          <t xml:space="preserve">no</t>
        </is>
      </c>
    </row>
    <row r="63">
      <c r="A63" s="6">
        <v>6</v>
      </c>
      <c r="B63" t="inlineStr">
        <is>
          <t xml:space="preserve">max-min-daily</t>
        </is>
      </c>
      <c r="C63" t="inlineStr">
        <is>
          <t xml:space="preserve">defaults</t>
        </is>
      </c>
      <c r="D63" s="6">
        <v>2</v>
      </c>
      <c r="E63" t="inlineStr">
        <is>
          <t xml:space="preserve">2021-07-01</t>
        </is>
      </c>
      <c r="F63" t="inlineStr">
        <is>
          <t xml:space="preserve">2022-07-01</t>
        </is>
      </c>
      <c r="G63" t="inlineStr">
        <is>
          <t xml:space="preserve">2022-07-01</t>
        </is>
      </c>
      <c r="H63" t="inlineStr">
        <is>
          <t xml:space="preserve">2022-10-01</t>
        </is>
      </c>
      <c r="I63" s="7">
        <v>-0.002388913213466015</v>
      </c>
      <c r="J63" s="5">
        <v>0.8022028392896724</v>
      </c>
      <c r="K63" s="5">
        <v>-0.2959201352135999</v>
      </c>
      <c r="L63" s="7">
        <v>0.014927889792677063</v>
      </c>
      <c r="M63" s="6">
        <v>13</v>
      </c>
      <c r="N63" t="inlineStr">
        <is>
          <t xml:space="preserve">no</t>
        </is>
      </c>
    </row>
    <row r="64">
      <c r="A64" s="6">
        <v>6</v>
      </c>
      <c r="B64" t="inlineStr">
        <is>
          <t xml:space="preserve">max-min-daily</t>
        </is>
      </c>
      <c r="C64" t="inlineStr">
        <is>
          <t xml:space="preserve">defaults</t>
        </is>
      </c>
      <c r="D64" s="6">
        <v>3</v>
      </c>
      <c r="E64" t="inlineStr">
        <is>
          <t xml:space="preserve">2022-01-01</t>
        </is>
      </c>
      <c r="F64" t="inlineStr">
        <is>
          <t xml:space="preserve">2023-01-01</t>
        </is>
      </c>
      <c r="G64" t="inlineStr">
        <is>
          <t xml:space="preserve">2023-01-01</t>
        </is>
      </c>
      <c r="H64" t="inlineStr">
        <is>
          <t xml:space="preserve">2023-04-01</t>
        </is>
      </c>
      <c r="I64" s="7">
        <v>0.0383012394422626</v>
      </c>
      <c r="J64" s="5">
        <v>1.9381243214032815</v>
      </c>
      <c r="K64" s="5">
        <v>2.236434199816181</v>
      </c>
      <c r="L64" s="7">
        <v>0.029047421404321937</v>
      </c>
      <c r="M64" s="6">
        <v>24</v>
      </c>
      <c r="N64" t="inlineStr">
        <is>
          <t xml:space="preserve">yes</t>
        </is>
      </c>
    </row>
    <row r="65">
      <c r="A65" s="6">
        <v>6</v>
      </c>
      <c r="B65" t="inlineStr">
        <is>
          <t xml:space="preserve">max-min-daily</t>
        </is>
      </c>
      <c r="C65" t="inlineStr">
        <is>
          <t xml:space="preserve">defaults</t>
        </is>
      </c>
      <c r="D65" s="6">
        <v>4</v>
      </c>
      <c r="E65" t="inlineStr">
        <is>
          <t xml:space="preserve">2022-07-01</t>
        </is>
      </c>
      <c r="F65" t="inlineStr">
        <is>
          <t xml:space="preserve">2023-07-01</t>
        </is>
      </c>
      <c r="G65" t="inlineStr">
        <is>
          <t xml:space="preserve">2023-07-01</t>
        </is>
      </c>
      <c r="H65" t="inlineStr">
        <is>
          <t xml:space="preserve">2023-10-01</t>
        </is>
      </c>
      <c r="I65" s="7">
        <v>-0.014437849906908329</v>
      </c>
      <c r="J65" s="5">
        <v>0.5095440445229308</v>
      </c>
      <c r="K65" s="5">
        <v>-1.903188873435972</v>
      </c>
      <c r="L65" s="7">
        <v>0.027512702202944474</v>
      </c>
      <c r="M65" s="6">
        <v>20</v>
      </c>
      <c r="N65" t="inlineStr">
        <is>
          <t xml:space="preserve">no</t>
        </is>
      </c>
    </row>
    <row r="66">
      <c r="A66" s="6">
        <v>6</v>
      </c>
      <c r="B66" t="inlineStr">
        <is>
          <t xml:space="preserve">mtf-trend-pullback</t>
        </is>
      </c>
      <c r="C66" t="inlineStr">
        <is>
          <t xml:space="preserve">defaults</t>
        </is>
      </c>
      <c r="D66" s="6">
        <v>1</v>
      </c>
      <c r="E66" t="inlineStr">
        <is>
          <t xml:space="preserve">2021-01-01</t>
        </is>
      </c>
      <c r="F66" t="inlineStr">
        <is>
          <t xml:space="preserve">2022-01-01</t>
        </is>
      </c>
      <c r="G66" t="inlineStr">
        <is>
          <t xml:space="preserve">2022-01-01</t>
        </is>
      </c>
      <c r="H66" t="inlineStr">
        <is>
          <t xml:space="preserve">2022-04-01</t>
        </is>
      </c>
      <c r="I66" s="7">
        <v>-0.0018230749811447566</v>
      </c>
      <c r="J66" s="5">
        <v>0.9434041684489566</v>
      </c>
      <c r="K66" s="5">
        <v>-0.12421840634754616</v>
      </c>
      <c r="L66" s="7">
        <v>0.038679478339096615</v>
      </c>
      <c r="M66" s="6">
        <v>9</v>
      </c>
      <c r="N66" t="inlineStr">
        <is>
          <t xml:space="preserve">no</t>
        </is>
      </c>
    </row>
    <row r="67">
      <c r="A67" s="6">
        <v>6</v>
      </c>
      <c r="B67" t="inlineStr">
        <is>
          <t xml:space="preserve">mtf-trend-pullback</t>
        </is>
      </c>
      <c r="C67" t="inlineStr">
        <is>
          <t xml:space="preserve">defaults</t>
        </is>
      </c>
      <c r="D67" s="6">
        <v>2</v>
      </c>
      <c r="E67" t="inlineStr">
        <is>
          <t xml:space="preserve">2021-07-01</t>
        </is>
      </c>
      <c r="F67" t="inlineStr">
        <is>
          <t xml:space="preserve">2022-07-01</t>
        </is>
      </c>
      <c r="G67" t="inlineStr">
        <is>
          <t xml:space="preserve">2022-07-01</t>
        </is>
      </c>
      <c r="H67" t="inlineStr">
        <is>
          <t xml:space="preserve">2022-10-01</t>
        </is>
      </c>
      <c r="I67" s="7">
        <v>-0.018577385784810385</v>
      </c>
      <c r="J67" s="5">
        <v>0.49853358223097</v>
      </c>
      <c r="K67" s="5">
        <v>-1.3593558909822963</v>
      </c>
      <c r="L67" s="7">
        <v>0.02849003519651148</v>
      </c>
      <c r="M67" s="6">
        <v>13</v>
      </c>
      <c r="N67" t="inlineStr">
        <is>
          <t xml:space="preserve">no</t>
        </is>
      </c>
    </row>
    <row r="68">
      <c r="A68" s="6">
        <v>6</v>
      </c>
      <c r="B68" t="inlineStr">
        <is>
          <t xml:space="preserve">mtf-trend-pullback</t>
        </is>
      </c>
      <c r="C68" t="inlineStr">
        <is>
          <t xml:space="preserve">defaults</t>
        </is>
      </c>
      <c r="D68" s="6">
        <v>3</v>
      </c>
      <c r="E68" t="inlineStr">
        <is>
          <t xml:space="preserve">2022-01-01</t>
        </is>
      </c>
      <c r="F68" t="inlineStr">
        <is>
          <t xml:space="preserve">2023-01-01</t>
        </is>
      </c>
      <c r="G68" t="inlineStr">
        <is>
          <t xml:space="preserve">2023-01-01</t>
        </is>
      </c>
      <c r="H68" t="inlineStr">
        <is>
          <t xml:space="preserve">2023-04-01</t>
        </is>
      </c>
      <c r="I68" s="7">
        <v>0.08495920353367946</v>
      </c>
      <c r="J68" s="5">
        <v>3.880322679316193</v>
      </c>
      <c r="K68" s="5">
        <v>3.5219853531421026</v>
      </c>
      <c r="L68" s="7">
        <v>0.04444126431571086</v>
      </c>
      <c r="M68" s="6">
        <v>12</v>
      </c>
      <c r="N68" t="inlineStr">
        <is>
          <t xml:space="preserve">yes</t>
        </is>
      </c>
    </row>
    <row r="69">
      <c r="A69" s="6">
        <v>6</v>
      </c>
      <c r="B69" t="inlineStr">
        <is>
          <t xml:space="preserve">mtf-trend-pullback</t>
        </is>
      </c>
      <c r="C69" t="inlineStr">
        <is>
          <t xml:space="preserve">defaults</t>
        </is>
      </c>
      <c r="D69" s="6">
        <v>4</v>
      </c>
      <c r="E69" t="inlineStr">
        <is>
          <t xml:space="preserve">2022-07-01</t>
        </is>
      </c>
      <c r="F69" t="inlineStr">
        <is>
          <t xml:space="preserve">2023-07-01</t>
        </is>
      </c>
      <c r="G69" t="inlineStr">
        <is>
          <t xml:space="preserve">2023-07-01</t>
        </is>
      </c>
      <c r="H69" t="inlineStr">
        <is>
          <t xml:space="preserve">2023-10-01</t>
        </is>
      </c>
      <c r="I69" s="7">
        <v>-0.041783553458396794</v>
      </c>
      <c r="J69" s="5">
        <v>0.04008467507912737</v>
      </c>
      <c r="K69" s="5">
        <v>-4.24286437761595</v>
      </c>
      <c r="L69" s="7">
        <v>0.048263501927057036</v>
      </c>
      <c r="M69" s="6">
        <v>15</v>
      </c>
      <c r="N69" t="inlineStr">
        <is>
          <t xml:space="preserve">no</t>
        </is>
      </c>
    </row>
    <row r="70">
      <c r="A70" s="6">
        <v>6</v>
      </c>
      <c r="B70" t="inlineStr">
        <is>
          <t xml:space="preserve">efficiency-regime-switch</t>
        </is>
      </c>
      <c r="C70" t="inlineStr">
        <is>
          <t xml:space="preserve">defaults</t>
        </is>
      </c>
      <c r="D70" s="6">
        <v>1</v>
      </c>
      <c r="E70" t="inlineStr">
        <is>
          <t xml:space="preserve">2021-01-01</t>
        </is>
      </c>
      <c r="F70" t="inlineStr">
        <is>
          <t xml:space="preserve">2022-01-01</t>
        </is>
      </c>
      <c r="G70" t="inlineStr">
        <is>
          <t xml:space="preserve">2022-01-01</t>
        </is>
      </c>
      <c r="H70" t="inlineStr">
        <is>
          <t xml:space="preserve">2022-04-01</t>
        </is>
      </c>
      <c r="I70" s="7">
        <v>-0.12227742180737167</v>
      </c>
      <c r="J70" s="5">
        <v>0.6060271315859396</v>
      </c>
      <c r="K70" s="5">
        <v>-3.64781661576343</v>
      </c>
      <c r="L70" s="7">
        <v>0.1480721579888574</v>
      </c>
      <c r="M70" s="6">
        <v>58</v>
      </c>
      <c r="N70" t="inlineStr">
        <is>
          <t xml:space="preserve">no</t>
        </is>
      </c>
    </row>
    <row r="71">
      <c r="A71" s="6">
        <v>6</v>
      </c>
      <c r="B71" t="inlineStr">
        <is>
          <t xml:space="preserve">efficiency-regime-switch</t>
        </is>
      </c>
      <c r="C71" t="inlineStr">
        <is>
          <t xml:space="preserve">defaults</t>
        </is>
      </c>
      <c r="D71" s="6">
        <v>2</v>
      </c>
      <c r="E71" t="inlineStr">
        <is>
          <t xml:space="preserve">2021-07-01</t>
        </is>
      </c>
      <c r="F71" t="inlineStr">
        <is>
          <t xml:space="preserve">2022-07-01</t>
        </is>
      </c>
      <c r="G71" t="inlineStr">
        <is>
          <t xml:space="preserve">2022-07-01</t>
        </is>
      </c>
      <c r="H71" t="inlineStr">
        <is>
          <t xml:space="preserve">2022-10-01</t>
        </is>
      </c>
      <c r="I71" s="7">
        <v>0.006219967833866358</v>
      </c>
      <c r="J71" s="5">
        <v>1.0214388286731004</v>
      </c>
      <c r="K71" s="5">
        <v>0.23656680851815332</v>
      </c>
      <c r="L71" s="7">
        <v>0.09447001386117099</v>
      </c>
      <c r="M71" s="6">
        <v>59</v>
      </c>
      <c r="N71" t="inlineStr">
        <is>
          <t xml:space="preserve">yes</t>
        </is>
      </c>
    </row>
    <row r="72">
      <c r="A72" s="6">
        <v>6</v>
      </c>
      <c r="B72" t="inlineStr">
        <is>
          <t xml:space="preserve">efficiency-regime-switch</t>
        </is>
      </c>
      <c r="C72" t="inlineStr">
        <is>
          <t xml:space="preserve">defaults</t>
        </is>
      </c>
      <c r="D72" s="6">
        <v>3</v>
      </c>
      <c r="E72" t="inlineStr">
        <is>
          <t xml:space="preserve">2022-01-01</t>
        </is>
      </c>
      <c r="F72" t="inlineStr">
        <is>
          <t xml:space="preserve">2023-01-01</t>
        </is>
      </c>
      <c r="G72" t="inlineStr">
        <is>
          <t xml:space="preserve">2023-01-01</t>
        </is>
      </c>
      <c r="H72" t="inlineStr">
        <is>
          <t xml:space="preserve">2023-04-01</t>
        </is>
      </c>
      <c r="I72" s="7">
        <v>0.2173011531097515</v>
      </c>
      <c r="J72" s="5">
        <v>1.825101976772468</v>
      </c>
      <c r="K72" s="5">
        <v>2.820017837674407</v>
      </c>
      <c r="L72" s="7">
        <v>0.10542871781072546</v>
      </c>
      <c r="M72" s="6">
        <v>45</v>
      </c>
      <c r="N72" t="inlineStr">
        <is>
          <t xml:space="preserve">yes</t>
        </is>
      </c>
    </row>
    <row r="73">
      <c r="A73" s="6">
        <v>6</v>
      </c>
      <c r="B73" t="inlineStr">
        <is>
          <t xml:space="preserve">efficiency-regime-switch</t>
        </is>
      </c>
      <c r="C73" t="inlineStr">
        <is>
          <t xml:space="preserve">defaults</t>
        </is>
      </c>
      <c r="D73" s="6">
        <v>4</v>
      </c>
      <c r="E73" t="inlineStr">
        <is>
          <t xml:space="preserve">2022-07-01</t>
        </is>
      </c>
      <c r="F73" t="inlineStr">
        <is>
          <t xml:space="preserve">2023-07-01</t>
        </is>
      </c>
      <c r="G73" t="inlineStr">
        <is>
          <t xml:space="preserve">2023-07-01</t>
        </is>
      </c>
      <c r="H73" t="inlineStr">
        <is>
          <t xml:space="preserve">2023-10-01</t>
        </is>
      </c>
      <c r="I73" s="7">
        <v>-0.05346876613854801</v>
      </c>
      <c r="J73" s="5">
        <v>0.815328387850411</v>
      </c>
      <c r="K73" s="5">
        <v>-1.437030196057073</v>
      </c>
      <c r="L73" s="7">
        <v>0.08713232801391337</v>
      </c>
      <c r="M73" s="6">
        <v>62</v>
      </c>
      <c r="N73" t="inlineStr">
        <is>
          <t xml:space="preserve">no</t>
        </is>
      </c>
    </row>
    <row r="74">
      <c r="A74" s="6">
        <v>6</v>
      </c>
      <c r="B74" t="inlineStr">
        <is>
          <t xml:space="preserve">volume-conditioned-reversal</t>
        </is>
      </c>
      <c r="C74" t="inlineStr">
        <is>
          <t xml:space="preserve">defaults</t>
        </is>
      </c>
      <c r="D74" s="6">
        <v>1</v>
      </c>
      <c r="E74" t="inlineStr">
        <is>
          <t xml:space="preserve">2021-01-01</t>
        </is>
      </c>
      <c r="F74" t="inlineStr">
        <is>
          <t xml:space="preserve">2022-01-01</t>
        </is>
      </c>
      <c r="G74" t="inlineStr">
        <is>
          <t xml:space="preserve">2022-01-01</t>
        </is>
      </c>
      <c r="H74" t="inlineStr">
        <is>
          <t xml:space="preserve">2022-04-01</t>
        </is>
      </c>
      <c r="I74" s="7">
        <v>-0.009718029594307565</v>
      </c>
      <c r="J74" s="5">
        <v>0.5569274616818425</v>
      </c>
      <c r="K74" s="5">
        <v>-1.2538449965917218</v>
      </c>
      <c r="L74" s="7">
        <v>0.021534936301468806</v>
      </c>
      <c r="M74" s="6">
        <v>17</v>
      </c>
      <c r="N74" t="inlineStr">
        <is>
          <t xml:space="preserve">no</t>
        </is>
      </c>
    </row>
    <row r="75">
      <c r="A75" s="6">
        <v>6</v>
      </c>
      <c r="B75" t="inlineStr">
        <is>
          <t xml:space="preserve">volume-conditioned-reversal</t>
        </is>
      </c>
      <c r="C75" t="inlineStr">
        <is>
          <t xml:space="preserve">defaults</t>
        </is>
      </c>
      <c r="D75" s="6">
        <v>2</v>
      </c>
      <c r="E75" t="inlineStr">
        <is>
          <t xml:space="preserve">2021-07-01</t>
        </is>
      </c>
      <c r="F75" t="inlineStr">
        <is>
          <t xml:space="preserve">2022-07-01</t>
        </is>
      </c>
      <c r="G75" t="inlineStr">
        <is>
          <t xml:space="preserve">2022-07-01</t>
        </is>
      </c>
      <c r="H75" t="inlineStr">
        <is>
          <t xml:space="preserve">2022-10-01</t>
        </is>
      </c>
      <c r="I75" s="7">
        <v>0.0010867349370780044</v>
      </c>
      <c r="J75" s="5">
        <v>1.0706854357553441</v>
      </c>
      <c r="K75" s="5">
        <v>0.21991035951713878</v>
      </c>
      <c r="L75" s="7">
        <v>0.015281437149765103</v>
      </c>
      <c r="M75" s="6">
        <v>16</v>
      </c>
      <c r="N75" t="inlineStr">
        <is>
          <t xml:space="preserve">yes</t>
        </is>
      </c>
    </row>
    <row r="76">
      <c r="A76" s="6">
        <v>6</v>
      </c>
      <c r="B76" t="inlineStr">
        <is>
          <t xml:space="preserve">volume-conditioned-reversal</t>
        </is>
      </c>
      <c r="C76" t="inlineStr">
        <is>
          <t xml:space="preserve">defaults</t>
        </is>
      </c>
      <c r="D76" s="6">
        <v>3</v>
      </c>
      <c r="E76" t="inlineStr">
        <is>
          <t xml:space="preserve">2022-01-01</t>
        </is>
      </c>
      <c r="F76" t="inlineStr">
        <is>
          <t xml:space="preserve">2023-01-01</t>
        </is>
      </c>
      <c r="G76" t="inlineStr">
        <is>
          <t xml:space="preserve">2023-01-01</t>
        </is>
      </c>
      <c r="H76" t="inlineStr">
        <is>
          <t xml:space="preserve">2023-04-01</t>
        </is>
      </c>
      <c r="I76" s="7">
        <v>0.07243154814741826</v>
      </c>
      <c r="J76" s="5">
        <v>2.5971876957133633</v>
      </c>
      <c r="K76" s="5">
        <v>2.900013751312829</v>
      </c>
      <c r="L76" s="7">
        <v>0.030078817946439754</v>
      </c>
      <c r="M76" s="6">
        <v>23</v>
      </c>
      <c r="N76" t="inlineStr">
        <is>
          <t xml:space="preserve">yes</t>
        </is>
      </c>
    </row>
    <row r="77">
      <c r="A77" s="6">
        <v>6</v>
      </c>
      <c r="B77" t="inlineStr">
        <is>
          <t xml:space="preserve">volume-conditioned-reversal</t>
        </is>
      </c>
      <c r="C77" t="inlineStr">
        <is>
          <t xml:space="preserve">defaults</t>
        </is>
      </c>
      <c r="D77" s="6">
        <v>4</v>
      </c>
      <c r="E77" t="inlineStr">
        <is>
          <t xml:space="preserve">2022-07-01</t>
        </is>
      </c>
      <c r="F77" t="inlineStr">
        <is>
          <t xml:space="preserve">2023-07-01</t>
        </is>
      </c>
      <c r="G77" t="inlineStr">
        <is>
          <t xml:space="preserve">2023-07-01</t>
        </is>
      </c>
      <c r="H77" t="inlineStr">
        <is>
          <t xml:space="preserve">2023-10-01</t>
        </is>
      </c>
      <c r="I77" s="7">
        <v>-0.026031020323033727</v>
      </c>
      <c r="J77" s="5">
        <v>0.22484269288556463</v>
      </c>
      <c r="K77" s="5">
        <v>-3.1932393035685247</v>
      </c>
      <c r="L77" s="7">
        <v>0.026522470765026448</v>
      </c>
      <c r="M77" s="6">
        <v>13</v>
      </c>
      <c r="N77" t="inlineStr">
        <is>
          <t xml:space="preserve">no</t>
        </is>
      </c>
    </row>
    <row r="78">
      <c r="A78" s="6">
        <v>6</v>
      </c>
      <c r="B78" t="inlineStr">
        <is>
          <t xml:space="preserve">crowding-filtered-breakout</t>
        </is>
      </c>
      <c r="C78" t="inlineStr">
        <is>
          <t xml:space="preserve">defaults</t>
        </is>
      </c>
      <c r="D78" s="6">
        <v>1</v>
      </c>
      <c r="E78" t="inlineStr">
        <is>
          <t xml:space="preserve">2021-01-01</t>
        </is>
      </c>
      <c r="F78" t="inlineStr">
        <is>
          <t xml:space="preserve">2022-01-01</t>
        </is>
      </c>
      <c r="G78" t="inlineStr">
        <is>
          <t xml:space="preserve">2022-01-01</t>
        </is>
      </c>
      <c r="H78" t="inlineStr">
        <is>
          <t xml:space="preserve">2022-04-01</t>
        </is>
      </c>
      <c r="I78" s="7">
        <v>0.01608834661354952</v>
      </c>
      <c r="J78" s="5">
        <v>1.7473773655606375</v>
      </c>
      <c r="K78" s="5">
        <v>1.497066012271154</v>
      </c>
      <c r="L78" s="7">
        <v>0.02382037387374326</v>
      </c>
      <c r="M78" s="6">
        <v>13</v>
      </c>
      <c r="N78" t="inlineStr">
        <is>
          <t xml:space="preserve">yes</t>
        </is>
      </c>
    </row>
    <row r="79">
      <c r="A79" s="6">
        <v>6</v>
      </c>
      <c r="B79" t="inlineStr">
        <is>
          <t xml:space="preserve">crowding-filtered-breakout</t>
        </is>
      </c>
      <c r="C79" t="inlineStr">
        <is>
          <t xml:space="preserve">defaults</t>
        </is>
      </c>
      <c r="D79" s="6">
        <v>2</v>
      </c>
      <c r="E79" t="inlineStr">
        <is>
          <t xml:space="preserve">2021-07-01</t>
        </is>
      </c>
      <c r="F79" t="inlineStr">
        <is>
          <t xml:space="preserve">2022-07-01</t>
        </is>
      </c>
      <c r="G79" t="inlineStr">
        <is>
          <t xml:space="preserve">2022-07-01</t>
        </is>
      </c>
      <c r="H79" t="inlineStr">
        <is>
          <t xml:space="preserve">2022-10-01</t>
        </is>
      </c>
      <c r="I79" s="7">
        <v>-0.01853457297252392</v>
      </c>
      <c r="J79" s="5">
        <v>0.49807571830722785</v>
      </c>
      <c r="K79" s="5">
        <v>-1.6813075090559861</v>
      </c>
      <c r="L79" s="7">
        <v>0.030126233739080452</v>
      </c>
      <c r="M79" s="6">
        <v>15</v>
      </c>
      <c r="N79" t="inlineStr">
        <is>
          <t xml:space="preserve">no</t>
        </is>
      </c>
    </row>
    <row r="80">
      <c r="A80" s="6">
        <v>6</v>
      </c>
      <c r="B80" t="inlineStr">
        <is>
          <t xml:space="preserve">crowding-filtered-breakout</t>
        </is>
      </c>
      <c r="C80" t="inlineStr">
        <is>
          <t xml:space="preserve">defaults</t>
        </is>
      </c>
      <c r="D80" s="6">
        <v>3</v>
      </c>
      <c r="E80" t="inlineStr">
        <is>
          <t xml:space="preserve">2022-01-01</t>
        </is>
      </c>
      <c r="F80" t="inlineStr">
        <is>
          <t xml:space="preserve">2023-01-01</t>
        </is>
      </c>
      <c r="G80" t="inlineStr">
        <is>
          <t xml:space="preserve">2023-01-01</t>
        </is>
      </c>
      <c r="H80" t="inlineStr">
        <is>
          <t xml:space="preserve">2023-04-01</t>
        </is>
      </c>
      <c r="I80" s="7">
        <v>0.1386173972285505</v>
      </c>
      <c r="J80" s="5">
        <v>341.543677504342</v>
      </c>
      <c r="K80" s="5">
        <v>5.204063749847203</v>
      </c>
      <c r="L80" s="7">
        <v>0.01813499216252839</v>
      </c>
      <c r="M80" s="6">
        <v>7</v>
      </c>
      <c r="N80" t="inlineStr">
        <is>
          <t xml:space="preserve">yes</t>
        </is>
      </c>
    </row>
    <row r="81">
      <c r="A81" s="6">
        <v>6</v>
      </c>
      <c r="B81" t="inlineStr">
        <is>
          <t xml:space="preserve">crowding-filtered-breakout</t>
        </is>
      </c>
      <c r="C81" t="inlineStr">
        <is>
          <t xml:space="preserve">defaults</t>
        </is>
      </c>
      <c r="D81" s="6">
        <v>4</v>
      </c>
      <c r="E81" t="inlineStr">
        <is>
          <t xml:space="preserve">2022-07-01</t>
        </is>
      </c>
      <c r="F81" t="inlineStr">
        <is>
          <t xml:space="preserve">2023-07-01</t>
        </is>
      </c>
      <c r="G81" t="inlineStr">
        <is>
          <t xml:space="preserve">2023-07-01</t>
        </is>
      </c>
      <c r="H81" t="inlineStr">
        <is>
          <t xml:space="preserve">2023-10-01</t>
        </is>
      </c>
      <c r="I81" s="7">
        <v>-0.02744186008231697</v>
      </c>
      <c r="J81" s="5">
        <v>0.442447924554087</v>
      </c>
      <c r="K81" s="5">
        <v>-1.9501282237161466</v>
      </c>
      <c r="L81" s="7">
        <v>0.03926721356103183</v>
      </c>
      <c r="M81" s="6">
        <v>12</v>
      </c>
      <c r="N81" t="inlineStr">
        <is>
          <t xml:space="preserve">no</t>
        </is>
      </c>
    </row>
    <row r="82">
      <c r="A82" s="6">
        <v>7</v>
      </c>
      <c r="B82" t="inlineStr">
        <is>
          <t xml:space="preserve">funding-tilt</t>
        </is>
      </c>
      <c r="C82" t="inlineStr">
        <is>
          <t xml:space="preserve">defaults</t>
        </is>
      </c>
      <c r="D82" s="6">
        <v>1</v>
      </c>
      <c r="E82" t="inlineStr">
        <is>
          <t xml:space="preserve">2021-01-01</t>
        </is>
      </c>
      <c r="F82" t="inlineStr">
        <is>
          <t xml:space="preserve">2022-01-01</t>
        </is>
      </c>
      <c r="G82" t="inlineStr">
        <is>
          <t xml:space="preserve">2022-01-01</t>
        </is>
      </c>
      <c r="H82" t="inlineStr">
        <is>
          <t xml:space="preserve">2022-04-01</t>
        </is>
      </c>
      <c r="I82" s="7">
        <v>-0.034386682955794834</v>
      </c>
      <c r="J82" s="5">
        <v>0.5388962099416272</v>
      </c>
      <c r="K82" s="5">
        <v>-2.3047078020032616</v>
      </c>
      <c r="L82" s="7">
        <v>0.03741945613103436</v>
      </c>
      <c r="M82" s="6">
        <v>19</v>
      </c>
      <c r="N82" t="inlineStr">
        <is>
          <t xml:space="preserve">no</t>
        </is>
      </c>
    </row>
    <row r="83">
      <c r="A83" s="6">
        <v>7</v>
      </c>
      <c r="B83" t="inlineStr">
        <is>
          <t xml:space="preserve">funding-tilt</t>
        </is>
      </c>
      <c r="C83" t="inlineStr">
        <is>
          <t xml:space="preserve">defaults</t>
        </is>
      </c>
      <c r="D83" s="6">
        <v>2</v>
      </c>
      <c r="E83" t="inlineStr">
        <is>
          <t xml:space="preserve">2021-07-01</t>
        </is>
      </c>
      <c r="F83" t="inlineStr">
        <is>
          <t xml:space="preserve">2022-07-01</t>
        </is>
      </c>
      <c r="G83" t="inlineStr">
        <is>
          <t xml:space="preserve">2022-07-01</t>
        </is>
      </c>
      <c r="H83" t="inlineStr">
        <is>
          <t xml:space="preserve">2022-10-01</t>
        </is>
      </c>
      <c r="I83" s="7">
        <v>-0.008304608675010594</v>
      </c>
      <c r="J83" s="5">
        <v>0.8682176772592228</v>
      </c>
      <c r="K83" s="5">
        <v>-0.4181049887329314</v>
      </c>
      <c r="L83" s="7">
        <v>0.03310523577948207</v>
      </c>
      <c r="M83" s="6">
        <v>21</v>
      </c>
      <c r="N83" t="inlineStr">
        <is>
          <t xml:space="preserve">no</t>
        </is>
      </c>
    </row>
    <row r="84">
      <c r="A84" s="6">
        <v>7</v>
      </c>
      <c r="B84" t="inlineStr">
        <is>
          <t xml:space="preserve">funding-tilt</t>
        </is>
      </c>
      <c r="C84" t="inlineStr">
        <is>
          <t xml:space="preserve">defaults</t>
        </is>
      </c>
      <c r="D84" s="6">
        <v>3</v>
      </c>
      <c r="E84" t="inlineStr">
        <is>
          <t xml:space="preserve">2022-01-01</t>
        </is>
      </c>
      <c r="F84" t="inlineStr">
        <is>
          <t xml:space="preserve">2023-01-01</t>
        </is>
      </c>
      <c r="G84" t="inlineStr">
        <is>
          <t xml:space="preserve">2023-01-01</t>
        </is>
      </c>
      <c r="H84" t="inlineStr">
        <is>
          <t xml:space="preserve">2023-04-01</t>
        </is>
      </c>
      <c r="I84" s="7">
        <v>0.0744225294489369</v>
      </c>
      <c r="J84" s="5">
        <v>2.1377305311904995</v>
      </c>
      <c r="K84" s="5">
        <v>2.789928226592916</v>
      </c>
      <c r="L84" s="7">
        <v>0.040153761046273405</v>
      </c>
      <c r="M84" s="6">
        <v>19</v>
      </c>
      <c r="N84" t="inlineStr">
        <is>
          <t xml:space="preserve">yes</t>
        </is>
      </c>
    </row>
    <row r="85">
      <c r="A85" s="6">
        <v>7</v>
      </c>
      <c r="B85" t="inlineStr">
        <is>
          <t xml:space="preserve">funding-tilt</t>
        </is>
      </c>
      <c r="C85" t="inlineStr">
        <is>
          <t xml:space="preserve">defaults</t>
        </is>
      </c>
      <c r="D85" s="6">
        <v>4</v>
      </c>
      <c r="E85" t="inlineStr">
        <is>
          <t xml:space="preserve">2022-07-01</t>
        </is>
      </c>
      <c r="F85" t="inlineStr">
        <is>
          <t xml:space="preserve">2023-07-01</t>
        </is>
      </c>
      <c r="G85" t="inlineStr">
        <is>
          <t xml:space="preserve">2023-07-01</t>
        </is>
      </c>
      <c r="H85" t="inlineStr">
        <is>
          <t xml:space="preserve">2023-10-01</t>
        </is>
      </c>
      <c r="I85" s="7">
        <v>0.007286764515904487</v>
      </c>
      <c r="J85" s="5">
        <v>1.231142472804249</v>
      </c>
      <c r="K85" s="5">
        <v>0.5396565537291207</v>
      </c>
      <c r="L85" s="7">
        <v>0.026530957167141933</v>
      </c>
      <c r="M85" s="6">
        <v>18</v>
      </c>
      <c r="N85" t="inlineStr">
        <is>
          <t xml:space="preserve">yes</t>
        </is>
      </c>
    </row>
    <row r="86">
      <c r="A86" s="6">
        <v>7</v>
      </c>
      <c r="B86" t="inlineStr">
        <is>
          <t xml:space="preserve">ema-cross-control</t>
        </is>
      </c>
      <c r="C86" t="inlineStr">
        <is>
          <t xml:space="preserve">defaults</t>
        </is>
      </c>
      <c r="D86" s="6">
        <v>1</v>
      </c>
      <c r="E86" t="inlineStr">
        <is>
          <t xml:space="preserve">2021-01-01</t>
        </is>
      </c>
      <c r="F86" t="inlineStr">
        <is>
          <t xml:space="preserve">2022-01-01</t>
        </is>
      </c>
      <c r="G86" t="inlineStr">
        <is>
          <t xml:space="preserve">2022-01-01</t>
        </is>
      </c>
      <c r="H86" t="inlineStr">
        <is>
          <t xml:space="preserve">2022-04-01</t>
        </is>
      </c>
      <c r="I86" s="7">
        <v>-0.02654387731003005</v>
      </c>
      <c r="J86" s="5">
        <v>0.6665033496855507</v>
      </c>
      <c r="K86" s="5">
        <v>-1.6515492507604315</v>
      </c>
      <c r="L86" s="7">
        <v>0.049844152110614805</v>
      </c>
      <c r="M86" s="6">
        <v>22</v>
      </c>
      <c r="N86" t="inlineStr">
        <is>
          <t xml:space="preserve">no</t>
        </is>
      </c>
    </row>
    <row r="87">
      <c r="A87" s="6">
        <v>7</v>
      </c>
      <c r="B87" t="inlineStr">
        <is>
          <t xml:space="preserve">ema-cross-control</t>
        </is>
      </c>
      <c r="C87" t="inlineStr">
        <is>
          <t xml:space="preserve">defaults</t>
        </is>
      </c>
      <c r="D87" s="6">
        <v>2</v>
      </c>
      <c r="E87" t="inlineStr">
        <is>
          <t xml:space="preserve">2021-07-01</t>
        </is>
      </c>
      <c r="F87" t="inlineStr">
        <is>
          <t xml:space="preserve">2022-07-01</t>
        </is>
      </c>
      <c r="G87" t="inlineStr">
        <is>
          <t xml:space="preserve">2022-07-01</t>
        </is>
      </c>
      <c r="H87" t="inlineStr">
        <is>
          <t xml:space="preserve">2022-10-01</t>
        </is>
      </c>
      <c r="I87" s="7">
        <v>0.014598083994678879</v>
      </c>
      <c r="J87" s="5">
        <v>1.2453975586138464</v>
      </c>
      <c r="K87" s="5">
        <v>0.8328742043957149</v>
      </c>
      <c r="L87" s="7">
        <v>0.02734851954412449</v>
      </c>
      <c r="M87" s="6">
        <v>22</v>
      </c>
      <c r="N87" t="inlineStr">
        <is>
          <t xml:space="preserve">yes</t>
        </is>
      </c>
    </row>
    <row r="88">
      <c r="A88" s="6">
        <v>7</v>
      </c>
      <c r="B88" t="inlineStr">
        <is>
          <t xml:space="preserve">ema-cross-control</t>
        </is>
      </c>
      <c r="C88" t="inlineStr">
        <is>
          <t xml:space="preserve">defaults</t>
        </is>
      </c>
      <c r="D88" s="6">
        <v>3</v>
      </c>
      <c r="E88" t="inlineStr">
        <is>
          <t xml:space="preserve">2022-01-01</t>
        </is>
      </c>
      <c r="F88" t="inlineStr">
        <is>
          <t xml:space="preserve">2023-01-01</t>
        </is>
      </c>
      <c r="G88" t="inlineStr">
        <is>
          <t xml:space="preserve">2023-01-01</t>
        </is>
      </c>
      <c r="H88" t="inlineStr">
        <is>
          <t xml:space="preserve">2023-04-01</t>
        </is>
      </c>
      <c r="I88" s="7">
        <v>-0.037181941717886136</v>
      </c>
      <c r="J88" s="5">
        <v>0.5926592771046583</v>
      </c>
      <c r="K88" s="5">
        <v>-1.9421669099118857</v>
      </c>
      <c r="L88" s="7">
        <v>0.070073568066166</v>
      </c>
      <c r="M88" s="6">
        <v>21</v>
      </c>
      <c r="N88" t="inlineStr">
        <is>
          <t xml:space="preserve">no</t>
        </is>
      </c>
    </row>
    <row r="89">
      <c r="A89" s="6">
        <v>7</v>
      </c>
      <c r="B89" t="inlineStr">
        <is>
          <t xml:space="preserve">ema-cross-control</t>
        </is>
      </c>
      <c r="C89" t="inlineStr">
        <is>
          <t xml:space="preserve">defaults</t>
        </is>
      </c>
      <c r="D89" s="6">
        <v>4</v>
      </c>
      <c r="E89" t="inlineStr">
        <is>
          <t xml:space="preserve">2022-07-01</t>
        </is>
      </c>
      <c r="F89" t="inlineStr">
        <is>
          <t xml:space="preserve">2023-07-01</t>
        </is>
      </c>
      <c r="G89" t="inlineStr">
        <is>
          <t xml:space="preserve">2023-07-01</t>
        </is>
      </c>
      <c r="H89" t="inlineStr">
        <is>
          <t xml:space="preserve">2023-10-01</t>
        </is>
      </c>
      <c r="I89" s="7">
        <v>-0.021945285788941282</v>
      </c>
      <c r="J89" s="5">
        <v>0.6415689098814618</v>
      </c>
      <c r="K89" s="5">
        <v>-1.5410808269878404</v>
      </c>
      <c r="L89" s="7">
        <v>0.042443119613794746</v>
      </c>
      <c r="M89" s="6">
        <v>22</v>
      </c>
      <c r="N89" t="inlineStr">
        <is>
          <t xml:space="preserve">no</t>
        </is>
      </c>
    </row>
    <row r="90">
      <c r="A90" s="6">
        <v>7</v>
      </c>
      <c r="B90" t="inlineStr">
        <is>
          <t xml:space="preserve">funding-carry-tilt</t>
        </is>
      </c>
      <c r="C90" t="inlineStr">
        <is>
          <t xml:space="preserve">defaults</t>
        </is>
      </c>
      <c r="D90" s="6">
        <v>1</v>
      </c>
      <c r="E90" t="inlineStr">
        <is>
          <t xml:space="preserve">2021-01-01</t>
        </is>
      </c>
      <c r="F90" t="inlineStr">
        <is>
          <t xml:space="preserve">2022-01-01</t>
        </is>
      </c>
      <c r="G90" t="inlineStr">
        <is>
          <t xml:space="preserve">2022-01-01</t>
        </is>
      </c>
      <c r="H90" t="inlineStr">
        <is>
          <t xml:space="preserve">2022-04-01</t>
        </is>
      </c>
      <c r="I90" s="7">
        <v>0.020084821000434294</v>
      </c>
      <c r="J90" s="5">
        <v>6.222345785564638</v>
      </c>
      <c r="K90" s="5">
        <v>2.6848625312117473</v>
      </c>
      <c r="L90" s="7">
        <v>0.015564677003246126</v>
      </c>
      <c r="M90" s="6">
        <v>5</v>
      </c>
      <c r="N90" t="inlineStr">
        <is>
          <t xml:space="preserve">yes</t>
        </is>
      </c>
    </row>
    <row r="91">
      <c r="A91" s="6">
        <v>7</v>
      </c>
      <c r="B91" t="inlineStr">
        <is>
          <t xml:space="preserve">funding-carry-tilt</t>
        </is>
      </c>
      <c r="C91" t="inlineStr">
        <is>
          <t xml:space="preserve">defaults</t>
        </is>
      </c>
      <c r="D91" s="6">
        <v>2</v>
      </c>
      <c r="E91" t="inlineStr">
        <is>
          <t xml:space="preserve">2021-07-01</t>
        </is>
      </c>
      <c r="F91" t="inlineStr">
        <is>
          <t xml:space="preserve">2022-07-01</t>
        </is>
      </c>
      <c r="G91" t="inlineStr">
        <is>
          <t xml:space="preserve">2022-07-01</t>
        </is>
      </c>
      <c r="H91" t="inlineStr">
        <is>
          <t xml:space="preserve">2022-10-01</t>
        </is>
      </c>
      <c r="I91" s="7">
        <v>-0.02007412859713642</v>
      </c>
      <c r="J91" s="5">
        <v>0.3569108807373676</v>
      </c>
      <c r="K91" s="5">
        <v>-2.0619489453577082</v>
      </c>
      <c r="L91" s="7">
        <v>0.02780376521467362</v>
      </c>
      <c r="M91" s="6">
        <v>12</v>
      </c>
      <c r="N91" t="inlineStr">
        <is>
          <t xml:space="preserve">no</t>
        </is>
      </c>
    </row>
    <row r="92">
      <c r="A92" s="6">
        <v>7</v>
      </c>
      <c r="B92" t="inlineStr">
        <is>
          <t xml:space="preserve">funding-carry-tilt</t>
        </is>
      </c>
      <c r="C92" t="inlineStr">
        <is>
          <t xml:space="preserve">defaults</t>
        </is>
      </c>
      <c r="D92" s="6">
        <v>3</v>
      </c>
      <c r="E92" t="inlineStr">
        <is>
          <t xml:space="preserve">2022-01-01</t>
        </is>
      </c>
      <c r="F92" t="inlineStr">
        <is>
          <t xml:space="preserve">2023-01-01</t>
        </is>
      </c>
      <c r="G92" t="inlineStr">
        <is>
          <t xml:space="preserve">2023-01-01</t>
        </is>
      </c>
      <c r="H92" t="inlineStr">
        <is>
          <t xml:space="preserve">2023-04-01</t>
        </is>
      </c>
      <c r="I92" s="7">
        <v>0.03703024411025657</v>
      </c>
      <c r="J92" s="5">
        <v>2.7481914933794274</v>
      </c>
      <c r="K92" s="5">
        <v>2.295676261826955</v>
      </c>
      <c r="L92" s="7">
        <v>0.023476330680014628</v>
      </c>
      <c r="M92" s="6">
        <v>9</v>
      </c>
      <c r="N92" t="inlineStr">
        <is>
          <t xml:space="preserve">yes</t>
        </is>
      </c>
    </row>
    <row r="93">
      <c r="A93" s="6">
        <v>7</v>
      </c>
      <c r="B93" t="inlineStr">
        <is>
          <t xml:space="preserve">funding-carry-tilt</t>
        </is>
      </c>
      <c r="C93" t="inlineStr">
        <is>
          <t xml:space="preserve">defaults</t>
        </is>
      </c>
      <c r="D93" s="6">
        <v>4</v>
      </c>
      <c r="E93" t="inlineStr">
        <is>
          <t xml:space="preserve">2022-07-01</t>
        </is>
      </c>
      <c r="F93" t="inlineStr">
        <is>
          <t xml:space="preserve">2023-07-01</t>
        </is>
      </c>
      <c r="G93" t="inlineStr">
        <is>
          <t xml:space="preserve">2023-07-01</t>
        </is>
      </c>
      <c r="H93" t="inlineStr">
        <is>
          <t xml:space="preserve">2023-10-01</t>
        </is>
      </c>
      <c r="I93" s="7">
        <v>0.036739000081675854</v>
      </c>
      <c r="J93" s="5">
        <v>3.522436762986336</v>
      </c>
      <c r="K93" s="5">
        <v>2.884097657100156</v>
      </c>
      <c r="L93" s="7">
        <v>0.0155255699891374</v>
      </c>
      <c r="M93" s="6">
        <v>11</v>
      </c>
      <c r="N93" t="inlineStr">
        <is>
          <t xml:space="preserve">yes</t>
        </is>
      </c>
    </row>
    <row r="94">
      <c r="A94" s="6">
        <v>8</v>
      </c>
      <c r="B94" t="inlineStr">
        <is>
          <t xml:space="preserve">funding-fade-wide</t>
        </is>
      </c>
      <c r="C94" t="inlineStr">
        <is>
          <t xml:space="preserve">defaults</t>
        </is>
      </c>
      <c r="D94" s="6">
        <v>1</v>
      </c>
      <c r="E94" t="inlineStr">
        <is>
          <t xml:space="preserve">2021-01-01</t>
        </is>
      </c>
      <c r="F94" t="inlineStr">
        <is>
          <t xml:space="preserve">2022-01-01</t>
        </is>
      </c>
      <c r="G94" t="inlineStr">
        <is>
          <t xml:space="preserve">2022-01-01</t>
        </is>
      </c>
      <c r="H94" t="inlineStr">
        <is>
          <t xml:space="preserve">2022-04-01</t>
        </is>
      </c>
      <c r="I94" s="7">
        <v>-0.019808585044203797</v>
      </c>
      <c r="J94" s="5">
        <v>0.6938548036124981</v>
      </c>
      <c r="K94" s="5">
        <v>-1.329618344811484</v>
      </c>
      <c r="L94" s="7">
        <v>0.034043317850957794</v>
      </c>
      <c r="M94" s="6">
        <v>18</v>
      </c>
      <c r="N94" t="inlineStr">
        <is>
          <t xml:space="preserve">no</t>
        </is>
      </c>
    </row>
    <row r="95">
      <c r="A95" s="6">
        <v>8</v>
      </c>
      <c r="B95" t="inlineStr">
        <is>
          <t xml:space="preserve">funding-fade-wide</t>
        </is>
      </c>
      <c r="C95" t="inlineStr">
        <is>
          <t xml:space="preserve">defaults</t>
        </is>
      </c>
      <c r="D95" s="6">
        <v>2</v>
      </c>
      <c r="E95" t="inlineStr">
        <is>
          <t xml:space="preserve">2021-07-01</t>
        </is>
      </c>
      <c r="F95" t="inlineStr">
        <is>
          <t xml:space="preserve">2022-07-01</t>
        </is>
      </c>
      <c r="G95" t="inlineStr">
        <is>
          <t xml:space="preserve">2022-07-01</t>
        </is>
      </c>
      <c r="H95" t="inlineStr">
        <is>
          <t xml:space="preserve">2022-10-01</t>
        </is>
      </c>
      <c r="I95" s="7">
        <v>0.0010741000333076567</v>
      </c>
      <c r="J95" s="5">
        <v>1.0209992920534172</v>
      </c>
      <c r="K95" s="5">
        <v>0.09562058676974113</v>
      </c>
      <c r="L95" s="7">
        <v>0.028648669527524147</v>
      </c>
      <c r="M95" s="6">
        <v>18</v>
      </c>
      <c r="N95" t="inlineStr">
        <is>
          <t xml:space="preserve">yes</t>
        </is>
      </c>
    </row>
    <row r="96">
      <c r="A96" s="6">
        <v>8</v>
      </c>
      <c r="B96" t="inlineStr">
        <is>
          <t xml:space="preserve">funding-fade-wide</t>
        </is>
      </c>
      <c r="C96" t="inlineStr">
        <is>
          <t xml:space="preserve">defaults</t>
        </is>
      </c>
      <c r="D96" s="6">
        <v>3</v>
      </c>
      <c r="E96" t="inlineStr">
        <is>
          <t xml:space="preserve">2022-01-01</t>
        </is>
      </c>
      <c r="F96" t="inlineStr">
        <is>
          <t xml:space="preserve">2023-01-01</t>
        </is>
      </c>
      <c r="G96" t="inlineStr">
        <is>
          <t xml:space="preserve">2023-01-01</t>
        </is>
      </c>
      <c r="H96" t="inlineStr">
        <is>
          <t xml:space="preserve">2023-04-01</t>
        </is>
      </c>
      <c r="I96" s="7">
        <v>0.03422699504519566</v>
      </c>
      <c r="J96" s="5">
        <v>1.4886977425456738</v>
      </c>
      <c r="K96" s="5">
        <v>1.4217996064169833</v>
      </c>
      <c r="L96" s="7">
        <v>0.04023345652770601</v>
      </c>
      <c r="M96" s="6">
        <v>18</v>
      </c>
      <c r="N96" t="inlineStr">
        <is>
          <t xml:space="preserve">yes</t>
        </is>
      </c>
    </row>
    <row r="97">
      <c r="A97" s="6">
        <v>8</v>
      </c>
      <c r="B97" t="inlineStr">
        <is>
          <t xml:space="preserve">funding-fade-wide</t>
        </is>
      </c>
      <c r="C97" t="inlineStr">
        <is>
          <t xml:space="preserve">defaults</t>
        </is>
      </c>
      <c r="D97" s="6">
        <v>4</v>
      </c>
      <c r="E97" t="inlineStr">
        <is>
          <t xml:space="preserve">2022-07-01</t>
        </is>
      </c>
      <c r="F97" t="inlineStr">
        <is>
          <t xml:space="preserve">2023-07-01</t>
        </is>
      </c>
      <c r="G97" t="inlineStr">
        <is>
          <t xml:space="preserve">2023-07-01</t>
        </is>
      </c>
      <c r="H97" t="inlineStr">
        <is>
          <t xml:space="preserve">2023-10-01</t>
        </is>
      </c>
      <c r="I97" s="7">
        <v>0.010649348044313722</v>
      </c>
      <c r="J97" s="5">
        <v>1.336445860284896</v>
      </c>
      <c r="K97" s="5">
        <v>0.8243324299406316</v>
      </c>
      <c r="L97" s="7">
        <v>0.02398936304067537</v>
      </c>
      <c r="M97" s="6">
        <v>18</v>
      </c>
      <c r="N97" t="inlineStr">
        <is>
          <t xml:space="preserve">yes</t>
        </is>
      </c>
    </row>
    <row r="98">
      <c r="A98" s="6">
        <v>8</v>
      </c>
      <c r="B98" t="inlineStr">
        <is>
          <t xml:space="preserve">funding-fade-wide</t>
        </is>
      </c>
      <c r="C98" t="inlineStr">
        <is>
          <t xml:space="preserve">optimized</t>
        </is>
      </c>
      <c r="D98" s="6">
        <v>1</v>
      </c>
      <c r="E98" t="inlineStr">
        <is>
          <t xml:space="preserve">2021-01-01</t>
        </is>
      </c>
      <c r="F98" t="inlineStr">
        <is>
          <t xml:space="preserve">2022-01-01</t>
        </is>
      </c>
      <c r="G98" t="inlineStr">
        <is>
          <t xml:space="preserve">2022-01-01</t>
        </is>
      </c>
      <c r="H98" t="inlineStr">
        <is>
          <t xml:space="preserve">2022-04-01</t>
        </is>
      </c>
      <c r="I98" s="7">
        <v>-0.019808585044203797</v>
      </c>
      <c r="J98" s="5">
        <v>0.6938548036124981</v>
      </c>
      <c r="K98" s="5">
        <v>-1.329618344811484</v>
      </c>
      <c r="L98" s="7">
        <v>0.034043317850957794</v>
      </c>
      <c r="M98" s="6">
        <v>18</v>
      </c>
      <c r="N98" t="inlineStr">
        <is>
          <t xml:space="preserve">no</t>
        </is>
      </c>
    </row>
    <row r="99">
      <c r="A99" s="6">
        <v>8</v>
      </c>
      <c r="B99" t="inlineStr">
        <is>
          <t xml:space="preserve">funding-fade-wide</t>
        </is>
      </c>
      <c r="C99" t="inlineStr">
        <is>
          <t xml:space="preserve">optimized</t>
        </is>
      </c>
      <c r="D99" s="6">
        <v>2</v>
      </c>
      <c r="E99" t="inlineStr">
        <is>
          <t xml:space="preserve">2021-07-01</t>
        </is>
      </c>
      <c r="F99" t="inlineStr">
        <is>
          <t xml:space="preserve">2022-07-01</t>
        </is>
      </c>
      <c r="G99" t="inlineStr">
        <is>
          <t xml:space="preserve">2022-07-01</t>
        </is>
      </c>
      <c r="H99" t="inlineStr">
        <is>
          <t xml:space="preserve">2022-10-01</t>
        </is>
      </c>
      <c r="I99" s="7">
        <v>0.0010741000333076567</v>
      </c>
      <c r="J99" s="5">
        <v>1.0209992920534172</v>
      </c>
      <c r="K99" s="5">
        <v>0.09562058676974113</v>
      </c>
      <c r="L99" s="7">
        <v>0.028648669527524147</v>
      </c>
      <c r="M99" s="6">
        <v>18</v>
      </c>
      <c r="N99" t="inlineStr">
        <is>
          <t xml:space="preserve">yes</t>
        </is>
      </c>
    </row>
    <row r="100">
      <c r="A100" s="6">
        <v>8</v>
      </c>
      <c r="B100" t="inlineStr">
        <is>
          <t xml:space="preserve">funding-fade-wide</t>
        </is>
      </c>
      <c r="C100" t="inlineStr">
        <is>
          <t xml:space="preserve">optimized</t>
        </is>
      </c>
      <c r="D100" s="6">
        <v>3</v>
      </c>
      <c r="E100" t="inlineStr">
        <is>
          <t xml:space="preserve">2022-01-01</t>
        </is>
      </c>
      <c r="F100" t="inlineStr">
        <is>
          <t xml:space="preserve">2023-01-01</t>
        </is>
      </c>
      <c r="G100" t="inlineStr">
        <is>
          <t xml:space="preserve">2023-01-01</t>
        </is>
      </c>
      <c r="H100" t="inlineStr">
        <is>
          <t xml:space="preserve">2023-04-01</t>
        </is>
      </c>
      <c r="I100" s="7">
        <v>0.03422699504519566</v>
      </c>
      <c r="J100" s="5">
        <v>1.4886977425456738</v>
      </c>
      <c r="K100" s="5">
        <v>1.4217996064169833</v>
      </c>
      <c r="L100" s="7">
        <v>0.04023345652770601</v>
      </c>
      <c r="M100" s="6">
        <v>18</v>
      </c>
      <c r="N100" t="inlineStr">
        <is>
          <t xml:space="preserve">yes</t>
        </is>
      </c>
    </row>
    <row r="101">
      <c r="A101" s="6">
        <v>8</v>
      </c>
      <c r="B101" t="inlineStr">
        <is>
          <t xml:space="preserve">funding-fade-wide</t>
        </is>
      </c>
      <c r="C101" t="inlineStr">
        <is>
          <t xml:space="preserve">optimized</t>
        </is>
      </c>
      <c r="D101" s="6">
        <v>4</v>
      </c>
      <c r="E101" t="inlineStr">
        <is>
          <t xml:space="preserve">2022-07-01</t>
        </is>
      </c>
      <c r="F101" t="inlineStr">
        <is>
          <t xml:space="preserve">2023-07-01</t>
        </is>
      </c>
      <c r="G101" t="inlineStr">
        <is>
          <t xml:space="preserve">2023-07-01</t>
        </is>
      </c>
      <c r="H101" t="inlineStr">
        <is>
          <t xml:space="preserve">2023-10-01</t>
        </is>
      </c>
      <c r="I101" s="7">
        <v>0.010649348044313722</v>
      </c>
      <c r="J101" s="5">
        <v>1.336445860284896</v>
      </c>
      <c r="K101" s="5">
        <v>0.8243324299406316</v>
      </c>
      <c r="L101" s="7">
        <v>0.02398936304067537</v>
      </c>
      <c r="M101" s="6">
        <v>18</v>
      </c>
      <c r="N101" t="inlineStr">
        <is>
          <t xml:space="preserve">yes</t>
        </is>
      </c>
    </row>
    <row r="102">
      <c r="A102" s="6">
        <v>9</v>
      </c>
      <c r="B102" t="inlineStr">
        <is>
          <t xml:space="preserve">cipher-b-dots</t>
        </is>
      </c>
      <c r="C102" t="inlineStr">
        <is>
          <t xml:space="preserve">defaults</t>
        </is>
      </c>
      <c r="D102" s="6">
        <v>1</v>
      </c>
      <c r="E102" t="inlineStr">
        <is>
          <t xml:space="preserve">2021-01-01</t>
        </is>
      </c>
      <c r="F102" t="inlineStr">
        <is>
          <t xml:space="preserve">2022-01-01</t>
        </is>
      </c>
      <c r="G102" t="inlineStr">
        <is>
          <t xml:space="preserve">2022-01-01</t>
        </is>
      </c>
      <c r="H102" t="inlineStr">
        <is>
          <t xml:space="preserve">2022-04-01</t>
        </is>
      </c>
      <c r="I102" s="7">
        <v>-0.016049502866257392</v>
      </c>
      <c r="J102" s="5">
        <v>0.7755359592617082</v>
      </c>
      <c r="K102" s="5">
        <v>-0.8668519233929166</v>
      </c>
      <c r="L102" s="7">
        <v>0.039649377067937815</v>
      </c>
      <c r="M102" s="6">
        <v>27</v>
      </c>
      <c r="N102" t="inlineStr">
        <is>
          <t xml:space="preserve">no</t>
        </is>
      </c>
    </row>
    <row r="103">
      <c r="A103" s="6">
        <v>9</v>
      </c>
      <c r="B103" t="inlineStr">
        <is>
          <t xml:space="preserve">cipher-b-dots</t>
        </is>
      </c>
      <c r="C103" t="inlineStr">
        <is>
          <t xml:space="preserve">defaults</t>
        </is>
      </c>
      <c r="D103" s="6">
        <v>2</v>
      </c>
      <c r="E103" t="inlineStr">
        <is>
          <t xml:space="preserve">2021-07-01</t>
        </is>
      </c>
      <c r="F103" t="inlineStr">
        <is>
          <t xml:space="preserve">2022-07-01</t>
        </is>
      </c>
      <c r="G103" t="inlineStr">
        <is>
          <t xml:space="preserve">2022-07-01</t>
        </is>
      </c>
      <c r="H103" t="inlineStr">
        <is>
          <t xml:space="preserve">2022-10-01</t>
        </is>
      </c>
      <c r="I103" s="7">
        <v>-0.01982638987407115</v>
      </c>
      <c r="J103" s="5">
        <v>0.7777589383122128</v>
      </c>
      <c r="K103" s="5">
        <v>-0.8163963250260344</v>
      </c>
      <c r="L103" s="7">
        <v>0.04056893798865783</v>
      </c>
      <c r="M103" s="6">
        <v>23</v>
      </c>
      <c r="N103" t="inlineStr">
        <is>
          <t xml:space="preserve">no</t>
        </is>
      </c>
    </row>
    <row r="104">
      <c r="A104" s="6">
        <v>9</v>
      </c>
      <c r="B104" t="inlineStr">
        <is>
          <t xml:space="preserve">cipher-b-dots</t>
        </is>
      </c>
      <c r="C104" t="inlineStr">
        <is>
          <t xml:space="preserve">defaults</t>
        </is>
      </c>
      <c r="D104" s="6">
        <v>3</v>
      </c>
      <c r="E104" t="inlineStr">
        <is>
          <t xml:space="preserve">2022-01-01</t>
        </is>
      </c>
      <c r="F104" t="inlineStr">
        <is>
          <t xml:space="preserve">2023-01-01</t>
        </is>
      </c>
      <c r="G104" t="inlineStr">
        <is>
          <t xml:space="preserve">2023-01-01</t>
        </is>
      </c>
      <c r="H104" t="inlineStr">
        <is>
          <t xml:space="preserve">2023-04-01</t>
        </is>
      </c>
      <c r="I104" s="7">
        <v>-0.018304134207222655</v>
      </c>
      <c r="J104" s="5">
        <v>0.777412848103052</v>
      </c>
      <c r="K104" s="5">
        <v>-0.7640200397327386</v>
      </c>
      <c r="L104" s="7">
        <v>0.047391644669926125</v>
      </c>
      <c r="M104" s="6">
        <v>27</v>
      </c>
      <c r="N104" t="inlineStr">
        <is>
          <t xml:space="preserve">no</t>
        </is>
      </c>
    </row>
    <row r="105">
      <c r="A105" s="6">
        <v>9</v>
      </c>
      <c r="B105" t="inlineStr">
        <is>
          <t xml:space="preserve">cipher-b-dots</t>
        </is>
      </c>
      <c r="C105" t="inlineStr">
        <is>
          <t xml:space="preserve">defaults</t>
        </is>
      </c>
      <c r="D105" s="6">
        <v>4</v>
      </c>
      <c r="E105" t="inlineStr">
        <is>
          <t xml:space="preserve">2022-07-01</t>
        </is>
      </c>
      <c r="F105" t="inlineStr">
        <is>
          <t xml:space="preserve">2023-07-01</t>
        </is>
      </c>
      <c r="G105" t="inlineStr">
        <is>
          <t xml:space="preserve">2023-07-01</t>
        </is>
      </c>
      <c r="H105" t="inlineStr">
        <is>
          <t xml:space="preserve">2023-10-01</t>
        </is>
      </c>
      <c r="I105" s="7">
        <v>-0.009248891187016883</v>
      </c>
      <c r="J105" s="5">
        <v>0.7498562628696057</v>
      </c>
      <c r="K105" s="5">
        <v>-0.740236650126219</v>
      </c>
      <c r="L105" s="7">
        <v>0.028456179737052202</v>
      </c>
      <c r="M105" s="6">
        <v>18</v>
      </c>
      <c r="N105" t="inlineStr">
        <is>
          <t xml:space="preserve">no</t>
        </is>
      </c>
    </row>
    <row r="106">
      <c r="A106" s="6">
        <v>9</v>
      </c>
      <c r="B106" t="inlineStr">
        <is>
          <t xml:space="preserve">cipher-b-sommi-flag</t>
        </is>
      </c>
      <c r="C106" t="inlineStr">
        <is>
          <t xml:space="preserve">defaults</t>
        </is>
      </c>
      <c r="D106" s="6">
        <v>1</v>
      </c>
      <c r="E106" t="inlineStr">
        <is>
          <t xml:space="preserve">2021-01-01</t>
        </is>
      </c>
      <c r="F106" t="inlineStr">
        <is>
          <t xml:space="preserve">2022-01-01</t>
        </is>
      </c>
      <c r="G106" t="inlineStr">
        <is>
          <t xml:space="preserve">2022-01-01</t>
        </is>
      </c>
      <c r="H106" t="inlineStr">
        <is>
          <t xml:space="preserve">2022-04-01</t>
        </is>
      </c>
      <c r="I106" s="7">
        <v>-0.02848966717930268</v>
      </c>
      <c r="J106" s="5">
        <v>0.5825721160888832</v>
      </c>
      <c r="K106" s="5">
        <v>-2.034989252399179</v>
      </c>
      <c r="L106" s="7">
        <v>0.043218811322819836</v>
      </c>
      <c r="M106" s="6">
        <v>24</v>
      </c>
      <c r="N106" t="inlineStr">
        <is>
          <t xml:space="preserve">no</t>
        </is>
      </c>
    </row>
    <row r="107">
      <c r="A107" s="6">
        <v>9</v>
      </c>
      <c r="B107" t="inlineStr">
        <is>
          <t xml:space="preserve">cipher-b-sommi-flag</t>
        </is>
      </c>
      <c r="C107" t="inlineStr">
        <is>
          <t xml:space="preserve">defaults</t>
        </is>
      </c>
      <c r="D107" s="6">
        <v>2</v>
      </c>
      <c r="E107" t="inlineStr">
        <is>
          <t xml:space="preserve">2021-07-01</t>
        </is>
      </c>
      <c r="F107" t="inlineStr">
        <is>
          <t xml:space="preserve">2022-07-01</t>
        </is>
      </c>
      <c r="G107" t="inlineStr">
        <is>
          <t xml:space="preserve">2022-07-01</t>
        </is>
      </c>
      <c r="H107" t="inlineStr">
        <is>
          <t xml:space="preserve">2022-10-01</t>
        </is>
      </c>
      <c r="I107" s="7">
        <v>-0.008732656380173509</v>
      </c>
      <c r="J107" s="5">
        <v>0.7774212249130922</v>
      </c>
      <c r="K107" s="5">
        <v>-0.7551536616046275</v>
      </c>
      <c r="L107" s="7">
        <v>0.030607481440209288</v>
      </c>
      <c r="M107" s="6">
        <v>16</v>
      </c>
      <c r="N107" t="inlineStr">
        <is>
          <t xml:space="preserve">no</t>
        </is>
      </c>
    </row>
    <row r="108">
      <c r="A108" s="6">
        <v>9</v>
      </c>
      <c r="B108" t="inlineStr">
        <is>
          <t xml:space="preserve">cipher-b-sommi-flag</t>
        </is>
      </c>
      <c r="C108" t="inlineStr">
        <is>
          <t xml:space="preserve">defaults</t>
        </is>
      </c>
      <c r="D108" s="6">
        <v>3</v>
      </c>
      <c r="E108" t="inlineStr">
        <is>
          <t xml:space="preserve">2022-01-01</t>
        </is>
      </c>
      <c r="F108" t="inlineStr">
        <is>
          <t xml:space="preserve">2023-01-01</t>
        </is>
      </c>
      <c r="G108" t="inlineStr">
        <is>
          <t xml:space="preserve">2023-01-01</t>
        </is>
      </c>
      <c r="H108" t="inlineStr">
        <is>
          <t xml:space="preserve">2023-04-01</t>
        </is>
      </c>
      <c r="I108" s="7">
        <v>-0.00547930301978472</v>
      </c>
      <c r="J108" s="5">
        <v>0.8279418051548365</v>
      </c>
      <c r="K108" s="5">
        <v>-0.4782635988509102</v>
      </c>
      <c r="L108" s="7">
        <v>0.02967139862322614</v>
      </c>
      <c r="M108" s="6">
        <v>11</v>
      </c>
      <c r="N108" t="inlineStr">
        <is>
          <t xml:space="preserve">no</t>
        </is>
      </c>
    </row>
    <row r="109">
      <c r="A109" s="6">
        <v>9</v>
      </c>
      <c r="B109" t="inlineStr">
        <is>
          <t xml:space="preserve">cipher-b-sommi-flag</t>
        </is>
      </c>
      <c r="C109" t="inlineStr">
        <is>
          <t xml:space="preserve">defaults</t>
        </is>
      </c>
      <c r="D109" s="6">
        <v>4</v>
      </c>
      <c r="E109" t="inlineStr">
        <is>
          <t xml:space="preserve">2022-07-01</t>
        </is>
      </c>
      <c r="F109" t="inlineStr">
        <is>
          <t xml:space="preserve">2023-07-01</t>
        </is>
      </c>
      <c r="G109" t="inlineStr">
        <is>
          <t xml:space="preserve">2023-07-01</t>
        </is>
      </c>
      <c r="H109" t="inlineStr">
        <is>
          <t xml:space="preserve">2023-10-01</t>
        </is>
      </c>
      <c r="I109" s="7">
        <v>-0.040624665221397634</v>
      </c>
      <c r="J109" s="5">
        <v>0.3363313821254258</v>
      </c>
      <c r="K109" s="5">
        <v>-4.043628665026463</v>
      </c>
      <c r="L109" s="7">
        <v>0.059557935943093235</v>
      </c>
      <c r="M109" s="6">
        <v>27</v>
      </c>
      <c r="N109" t="inlineStr">
        <is>
          <t xml:space="preserve">no</t>
        </is>
      </c>
    </row>
    <row r="110">
      <c r="A110" s="6">
        <v>9</v>
      </c>
      <c r="B110" t="inlineStr">
        <is>
          <t xml:space="preserve">cipher-b-divergence</t>
        </is>
      </c>
      <c r="C110" t="inlineStr">
        <is>
          <t xml:space="preserve">defaults</t>
        </is>
      </c>
      <c r="D110" s="6">
        <v>1</v>
      </c>
      <c r="E110" t="inlineStr">
        <is>
          <t xml:space="preserve">2021-01-01</t>
        </is>
      </c>
      <c r="F110" t="inlineStr">
        <is>
          <t xml:space="preserve">2022-01-01</t>
        </is>
      </c>
      <c r="G110" t="inlineStr">
        <is>
          <t xml:space="preserve">2022-01-01</t>
        </is>
      </c>
      <c r="H110" t="inlineStr">
        <is>
          <t xml:space="preserve">2022-04-01</t>
        </is>
      </c>
      <c r="I110" s="7">
        <v>-0.0268409213413906</v>
      </c>
      <c r="J110" s="5">
        <v>0.2521125824662259</v>
      </c>
      <c r="K110" s="5">
        <v>-3.0181336179040636</v>
      </c>
      <c r="L110" s="7">
        <v>0.029922038798131875</v>
      </c>
      <c r="M110" s="6">
        <v>9</v>
      </c>
      <c r="N110" t="inlineStr">
        <is>
          <t xml:space="preserve">no</t>
        </is>
      </c>
    </row>
    <row r="111">
      <c r="A111" s="6">
        <v>9</v>
      </c>
      <c r="B111" t="inlineStr">
        <is>
          <t xml:space="preserve">cipher-b-divergence</t>
        </is>
      </c>
      <c r="C111" t="inlineStr">
        <is>
          <t xml:space="preserve">defaults</t>
        </is>
      </c>
      <c r="D111" s="6">
        <v>2</v>
      </c>
      <c r="E111" t="inlineStr">
        <is>
          <t xml:space="preserve">2021-07-01</t>
        </is>
      </c>
      <c r="F111" t="inlineStr">
        <is>
          <t xml:space="preserve">2022-07-01</t>
        </is>
      </c>
      <c r="G111" t="inlineStr">
        <is>
          <t xml:space="preserve">2022-07-01</t>
        </is>
      </c>
      <c r="H111" t="inlineStr">
        <is>
          <t xml:space="preserve">2022-10-01</t>
        </is>
      </c>
      <c r="I111" s="7">
        <v>-0.01896803462306107</v>
      </c>
      <c r="J111" s="5">
        <v>0.6252543486588712</v>
      </c>
      <c r="K111" s="5">
        <v>-1.3751958643983846</v>
      </c>
      <c r="L111" s="7">
        <v>0.03334640923255265</v>
      </c>
      <c r="M111" s="6">
        <v>14</v>
      </c>
      <c r="N111" t="inlineStr">
        <is>
          <t xml:space="preserve">no</t>
        </is>
      </c>
    </row>
    <row r="112">
      <c r="A112" s="6">
        <v>9</v>
      </c>
      <c r="B112" t="inlineStr">
        <is>
          <t xml:space="preserve">cipher-b-divergence</t>
        </is>
      </c>
      <c r="C112" t="inlineStr">
        <is>
          <t xml:space="preserve">defaults</t>
        </is>
      </c>
      <c r="D112" s="6">
        <v>3</v>
      </c>
      <c r="E112" t="inlineStr">
        <is>
          <t xml:space="preserve">2022-01-01</t>
        </is>
      </c>
      <c r="F112" t="inlineStr">
        <is>
          <t xml:space="preserve">2023-01-01</t>
        </is>
      </c>
      <c r="G112" t="inlineStr">
        <is>
          <t xml:space="preserve">2023-01-01</t>
        </is>
      </c>
      <c r="H112" t="inlineStr">
        <is>
          <t xml:space="preserve">2023-04-01</t>
        </is>
      </c>
      <c r="I112" s="7">
        <v>-0.03249109557704888</v>
      </c>
      <c r="J112" s="5">
        <v>0.39167948761950944</v>
      </c>
      <c r="K112" s="5">
        <v>-2.6748800108443773</v>
      </c>
      <c r="L112" s="7">
        <v>0.04347226273003559</v>
      </c>
      <c r="M112" s="6">
        <v>16</v>
      </c>
      <c r="N112" t="inlineStr">
        <is>
          <t xml:space="preserve">no</t>
        </is>
      </c>
    </row>
    <row r="113">
      <c r="A113" s="6">
        <v>9</v>
      </c>
      <c r="B113" t="inlineStr">
        <is>
          <t xml:space="preserve">cipher-b-divergence</t>
        </is>
      </c>
      <c r="C113" t="inlineStr">
        <is>
          <t xml:space="preserve">defaults</t>
        </is>
      </c>
      <c r="D113" s="6">
        <v>4</v>
      </c>
      <c r="E113" t="inlineStr">
        <is>
          <t xml:space="preserve">2022-07-01</t>
        </is>
      </c>
      <c r="F113" t="inlineStr">
        <is>
          <t xml:space="preserve">2023-07-01</t>
        </is>
      </c>
      <c r="G113" t="inlineStr">
        <is>
          <t xml:space="preserve">2023-07-01</t>
        </is>
      </c>
      <c r="H113" t="inlineStr">
        <is>
          <t xml:space="preserve">2023-10-01</t>
        </is>
      </c>
      <c r="I113" s="7">
        <v>-0.03282504337040859</v>
      </c>
      <c r="J113" s="5">
        <v>0.07550685696985811</v>
      </c>
      <c r="K113" s="5">
        <v>-3.7813068466244752</v>
      </c>
      <c r="L113" s="7">
        <v>0.03689523646684484</v>
      </c>
      <c r="M113" s="6">
        <v>8</v>
      </c>
      <c r="N113" t="inlineStr">
        <is>
          <t xml:space="preserve">no</t>
        </is>
      </c>
    </row>
    <row r="114">
      <c r="A114" s="6">
        <v>9</v>
      </c>
      <c r="B114" t="inlineStr">
        <is>
          <t xml:space="preserve">cipher-a-ribbon</t>
        </is>
      </c>
      <c r="C114" t="inlineStr">
        <is>
          <t xml:space="preserve">defaults</t>
        </is>
      </c>
      <c r="D114" s="6">
        <v>1</v>
      </c>
      <c r="E114" t="inlineStr">
        <is>
          <t xml:space="preserve">2021-01-01</t>
        </is>
      </c>
      <c r="F114" t="inlineStr">
        <is>
          <t xml:space="preserve">2022-01-01</t>
        </is>
      </c>
      <c r="G114" t="inlineStr">
        <is>
          <t xml:space="preserve">2022-01-01</t>
        </is>
      </c>
      <c r="H114" t="inlineStr">
        <is>
          <t xml:space="preserve">2022-04-01</t>
        </is>
      </c>
      <c r="I114" s="7">
        <v>-0.00951121615992978</v>
      </c>
      <c r="J114" s="5">
        <v>0.8928395671117149</v>
      </c>
      <c r="K114" s="5">
        <v>-0.3512849088288086</v>
      </c>
      <c r="L114" s="7">
        <v>0.07919237510135635</v>
      </c>
      <c r="M114" s="6">
        <v>17</v>
      </c>
      <c r="N114" t="inlineStr">
        <is>
          <t xml:space="preserve">no</t>
        </is>
      </c>
    </row>
    <row r="115">
      <c r="A115" s="6">
        <v>9</v>
      </c>
      <c r="B115" t="inlineStr">
        <is>
          <t xml:space="preserve">cipher-a-ribbon</t>
        </is>
      </c>
      <c r="C115" t="inlineStr">
        <is>
          <t xml:space="preserve">defaults</t>
        </is>
      </c>
      <c r="D115" s="6">
        <v>2</v>
      </c>
      <c r="E115" t="inlineStr">
        <is>
          <t xml:space="preserve">2021-07-01</t>
        </is>
      </c>
      <c r="F115" t="inlineStr">
        <is>
          <t xml:space="preserve">2022-07-01</t>
        </is>
      </c>
      <c r="G115" t="inlineStr">
        <is>
          <t xml:space="preserve">2022-07-01</t>
        </is>
      </c>
      <c r="H115" t="inlineStr">
        <is>
          <t xml:space="preserve">2022-10-01</t>
        </is>
      </c>
      <c r="I115" s="7">
        <v>-0.014300660203119708</v>
      </c>
      <c r="J115" s="5">
        <v>0.7682970074522757</v>
      </c>
      <c r="K115" s="5">
        <v>-0.5149026564895272</v>
      </c>
      <c r="L115" s="7">
        <v>0.05853712319311796</v>
      </c>
      <c r="M115" s="6">
        <v>17</v>
      </c>
      <c r="N115" t="inlineStr">
        <is>
          <t xml:space="preserve">no</t>
        </is>
      </c>
    </row>
    <row r="116">
      <c r="A116" s="6">
        <v>9</v>
      </c>
      <c r="B116" t="inlineStr">
        <is>
          <t xml:space="preserve">cipher-a-ribbon</t>
        </is>
      </c>
      <c r="C116" t="inlineStr">
        <is>
          <t xml:space="preserve">defaults</t>
        </is>
      </c>
      <c r="D116" s="6">
        <v>3</v>
      </c>
      <c r="E116" t="inlineStr">
        <is>
          <t xml:space="preserve">2022-01-01</t>
        </is>
      </c>
      <c r="F116" t="inlineStr">
        <is>
          <t xml:space="preserve">2023-01-01</t>
        </is>
      </c>
      <c r="G116" t="inlineStr">
        <is>
          <t xml:space="preserve">2023-01-01</t>
        </is>
      </c>
      <c r="H116" t="inlineStr">
        <is>
          <t xml:space="preserve">2023-04-01</t>
        </is>
      </c>
      <c r="I116" s="7">
        <v>0.3465973573391812</v>
      </c>
      <c r="J116" s="5">
        <v>12.901204303840107</v>
      </c>
      <c r="K116" s="5">
        <v>4.941221019810855</v>
      </c>
      <c r="L116" s="7">
        <v>0.04193138717341273</v>
      </c>
      <c r="M116" s="6">
        <v>9</v>
      </c>
      <c r="N116" t="inlineStr">
        <is>
          <t xml:space="preserve">yes</t>
        </is>
      </c>
    </row>
    <row r="117">
      <c r="A117" s="6">
        <v>9</v>
      </c>
      <c r="B117" t="inlineStr">
        <is>
          <t xml:space="preserve">cipher-a-ribbon</t>
        </is>
      </c>
      <c r="C117" t="inlineStr">
        <is>
          <t xml:space="preserve">defaults</t>
        </is>
      </c>
      <c r="D117" s="6">
        <v>4</v>
      </c>
      <c r="E117" t="inlineStr">
        <is>
          <t xml:space="preserve">2022-07-01</t>
        </is>
      </c>
      <c r="F117" t="inlineStr">
        <is>
          <t xml:space="preserve">2023-07-01</t>
        </is>
      </c>
      <c r="G117" t="inlineStr">
        <is>
          <t xml:space="preserve">2023-07-01</t>
        </is>
      </c>
      <c r="H117" t="inlineStr">
        <is>
          <t xml:space="preserve">2023-10-01</t>
        </is>
      </c>
      <c r="I117" s="7">
        <v>-0.03946976330827323</v>
      </c>
      <c r="J117" s="5">
        <v>0.6194703269908162</v>
      </c>
      <c r="K117" s="5">
        <v>-0.8782977409945594</v>
      </c>
      <c r="L117" s="7">
        <v>0.07728713916883978</v>
      </c>
      <c r="M117" s="6">
        <v>20</v>
      </c>
      <c r="N117" t="inlineStr">
        <is>
          <t xml:space="preserve">no</t>
        </is>
      </c>
    </row>
    <row r="118">
      <c r="A118" s="6">
        <v>9</v>
      </c>
      <c r="B118" t="inlineStr">
        <is>
          <t xml:space="preserve">cipher-b-confluence</t>
        </is>
      </c>
      <c r="C118" t="inlineStr">
        <is>
          <t xml:space="preserve">defaults</t>
        </is>
      </c>
      <c r="D118" s="6">
        <v>1</v>
      </c>
      <c r="E118" t="inlineStr">
        <is>
          <t xml:space="preserve">2021-01-01</t>
        </is>
      </c>
      <c r="F118" t="inlineStr">
        <is>
          <t xml:space="preserve">2022-01-01</t>
        </is>
      </c>
      <c r="G118" t="inlineStr">
        <is>
          <t xml:space="preserve">2022-01-01</t>
        </is>
      </c>
      <c r="H118" t="inlineStr">
        <is>
          <t xml:space="preserve">2022-04-01</t>
        </is>
      </c>
      <c r="I118" s="7">
        <v>-0.002768521430420834</v>
      </c>
      <c r="J118" s="5">
        <v>0.9348444168842647</v>
      </c>
      <c r="K118" s="5">
        <v>-0.16015832340500388</v>
      </c>
      <c r="L118" s="7">
        <v>0.022242892359967528</v>
      </c>
      <c r="M118" s="6">
        <v>15</v>
      </c>
      <c r="N118" t="inlineStr">
        <is>
          <t xml:space="preserve">no</t>
        </is>
      </c>
    </row>
    <row r="119">
      <c r="A119" s="6">
        <v>9</v>
      </c>
      <c r="B119" t="inlineStr">
        <is>
          <t xml:space="preserve">cipher-b-confluence</t>
        </is>
      </c>
      <c r="C119" t="inlineStr">
        <is>
          <t xml:space="preserve">defaults</t>
        </is>
      </c>
      <c r="D119" s="6">
        <v>2</v>
      </c>
      <c r="E119" t="inlineStr">
        <is>
          <t xml:space="preserve">2021-07-01</t>
        </is>
      </c>
      <c r="F119" t="inlineStr">
        <is>
          <t xml:space="preserve">2022-07-01</t>
        </is>
      </c>
      <c r="G119" t="inlineStr">
        <is>
          <t xml:space="preserve">2022-07-01</t>
        </is>
      </c>
      <c r="H119" t="inlineStr">
        <is>
          <t xml:space="preserve">2022-10-01</t>
        </is>
      </c>
      <c r="I119" s="7">
        <v>0.001200034584005083</v>
      </c>
      <c r="J119" s="5">
        <v>1.0183718101572734</v>
      </c>
      <c r="K119" s="5">
        <v>0.09817729091788377</v>
      </c>
      <c r="L119" s="7">
        <v>0.03751899080748682</v>
      </c>
      <c r="M119" s="6">
        <v>15</v>
      </c>
      <c r="N119" t="inlineStr">
        <is>
          <t xml:space="preserve">yes</t>
        </is>
      </c>
    </row>
    <row r="120">
      <c r="A120" s="6">
        <v>9</v>
      </c>
      <c r="B120" t="inlineStr">
        <is>
          <t xml:space="preserve">cipher-b-confluence</t>
        </is>
      </c>
      <c r="C120" t="inlineStr">
        <is>
          <t xml:space="preserve">defaults</t>
        </is>
      </c>
      <c r="D120" s="6">
        <v>3</v>
      </c>
      <c r="E120" t="inlineStr">
        <is>
          <t xml:space="preserve">2022-01-01</t>
        </is>
      </c>
      <c r="F120" t="inlineStr">
        <is>
          <t xml:space="preserve">2023-01-01</t>
        </is>
      </c>
      <c r="G120" t="inlineStr">
        <is>
          <t xml:space="preserve">2023-01-01</t>
        </is>
      </c>
      <c r="H120" t="inlineStr">
        <is>
          <t xml:space="preserve">2023-04-01</t>
        </is>
      </c>
      <c r="I120" s="7">
        <v>-0.007944354851076252</v>
      </c>
      <c r="J120" s="5">
        <v>0.5106186904654456</v>
      </c>
      <c r="K120" s="5">
        <v>-0.7063749979283922</v>
      </c>
      <c r="L120" s="7">
        <v>0.0267477283280405</v>
      </c>
      <c r="M120" s="6">
        <v>8</v>
      </c>
      <c r="N120" t="inlineStr">
        <is>
          <t xml:space="preserve">no</t>
        </is>
      </c>
    </row>
    <row r="121">
      <c r="A121" s="6">
        <v>9</v>
      </c>
      <c r="B121" t="inlineStr">
        <is>
          <t xml:space="preserve">cipher-b-confluence</t>
        </is>
      </c>
      <c r="C121" t="inlineStr">
        <is>
          <t xml:space="preserve">defaults</t>
        </is>
      </c>
      <c r="D121" s="6">
        <v>4</v>
      </c>
      <c r="E121" t="inlineStr">
        <is>
          <t xml:space="preserve">2022-07-01</t>
        </is>
      </c>
      <c r="F121" t="inlineStr">
        <is>
          <t xml:space="preserve">2023-07-01</t>
        </is>
      </c>
      <c r="G121" t="inlineStr">
        <is>
          <t xml:space="preserve">2023-07-01</t>
        </is>
      </c>
      <c r="H121" t="inlineStr">
        <is>
          <t xml:space="preserve">2023-10-01</t>
        </is>
      </c>
      <c r="I121" s="7">
        <v>-0.006373567123533985</v>
      </c>
      <c r="J121" s="5">
        <v>0.7556996239641041</v>
      </c>
      <c r="K121" s="5">
        <v>-0.5781105915125202</v>
      </c>
      <c r="L121" s="7">
        <v>0.025636598411045562</v>
      </c>
      <c r="M121" s="6">
        <v>14</v>
      </c>
      <c r="N121" t="inlineStr">
        <is>
          <t xml:space="preserve">no</t>
        </is>
      </c>
    </row>
    <row r="122">
      <c r="A122" s="6">
        <v>10</v>
      </c>
      <c r="B122" t="inlineStr">
        <is>
          <t xml:space="preserve">supertrend</t>
        </is>
      </c>
      <c r="C122" t="inlineStr">
        <is>
          <t xml:space="preserve">defaults</t>
        </is>
      </c>
      <c r="D122" s="6">
        <v>1</v>
      </c>
      <c r="E122" t="inlineStr">
        <is>
          <t xml:space="preserve">2021-01-01</t>
        </is>
      </c>
      <c r="F122" t="inlineStr">
        <is>
          <t xml:space="preserve">2022-01-01</t>
        </is>
      </c>
      <c r="G122" t="inlineStr">
        <is>
          <t xml:space="preserve">2022-01-01</t>
        </is>
      </c>
      <c r="H122" t="inlineStr">
        <is>
          <t xml:space="preserve">2022-04-01</t>
        </is>
      </c>
      <c r="I122" s="7">
        <v>-0.03725066541140476</v>
      </c>
      <c r="J122" s="5">
        <v>0.7484010461665049</v>
      </c>
      <c r="K122" s="5">
        <v>-0.8530941866622405</v>
      </c>
      <c r="L122" s="7">
        <v>0.09440659915115919</v>
      </c>
      <c r="M122" s="6">
        <v>30</v>
      </c>
      <c r="N122" t="inlineStr">
        <is>
          <t xml:space="preserve">no</t>
        </is>
      </c>
    </row>
    <row r="123">
      <c r="A123" s="6">
        <v>10</v>
      </c>
      <c r="B123" t="inlineStr">
        <is>
          <t xml:space="preserve">supertrend</t>
        </is>
      </c>
      <c r="C123" t="inlineStr">
        <is>
          <t xml:space="preserve">defaults</t>
        </is>
      </c>
      <c r="D123" s="6">
        <v>2</v>
      </c>
      <c r="E123" t="inlineStr">
        <is>
          <t xml:space="preserve">2021-07-01</t>
        </is>
      </c>
      <c r="F123" t="inlineStr">
        <is>
          <t xml:space="preserve">2022-07-01</t>
        </is>
      </c>
      <c r="G123" t="inlineStr">
        <is>
          <t xml:space="preserve">2022-07-01</t>
        </is>
      </c>
      <c r="H123" t="inlineStr">
        <is>
          <t xml:space="preserve">2022-10-01</t>
        </is>
      </c>
      <c r="I123" s="7">
        <v>-0.10110317912817625</v>
      </c>
      <c r="J123" s="5">
        <v>0.31257379925644196</v>
      </c>
      <c r="K123" s="5">
        <v>-3.3687836546465157</v>
      </c>
      <c r="L123" s="7">
        <v>0.1245515921823215</v>
      </c>
      <c r="M123" s="6">
        <v>34</v>
      </c>
      <c r="N123" t="inlineStr">
        <is>
          <t xml:space="preserve">no</t>
        </is>
      </c>
    </row>
    <row r="124">
      <c r="A124" s="6">
        <v>10</v>
      </c>
      <c r="B124" t="inlineStr">
        <is>
          <t xml:space="preserve">supertrend</t>
        </is>
      </c>
      <c r="C124" t="inlineStr">
        <is>
          <t xml:space="preserve">defaults</t>
        </is>
      </c>
      <c r="D124" s="6">
        <v>3</v>
      </c>
      <c r="E124" t="inlineStr">
        <is>
          <t xml:space="preserve">2022-01-01</t>
        </is>
      </c>
      <c r="F124" t="inlineStr">
        <is>
          <t xml:space="preserve">2023-01-01</t>
        </is>
      </c>
      <c r="G124" t="inlineStr">
        <is>
          <t xml:space="preserve">2023-01-01</t>
        </is>
      </c>
      <c r="H124" t="inlineStr">
        <is>
          <t xml:space="preserve">2023-04-01</t>
        </is>
      </c>
      <c r="I124" s="7">
        <v>0.2333155285315318</v>
      </c>
      <c r="J124" s="5">
        <v>3.1567953890335314</v>
      </c>
      <c r="K124" s="5">
        <v>3.6329172484688628</v>
      </c>
      <c r="L124" s="7">
        <v>0.07177142536587351</v>
      </c>
      <c r="M124" s="6">
        <v>24</v>
      </c>
      <c r="N124" t="inlineStr">
        <is>
          <t xml:space="preserve">yes</t>
        </is>
      </c>
    </row>
    <row r="125">
      <c r="A125" s="6">
        <v>10</v>
      </c>
      <c r="B125" t="inlineStr">
        <is>
          <t xml:space="preserve">supertrend</t>
        </is>
      </c>
      <c r="C125" t="inlineStr">
        <is>
          <t xml:space="preserve">defaults</t>
        </is>
      </c>
      <c r="D125" s="6">
        <v>4</v>
      </c>
      <c r="E125" t="inlineStr">
        <is>
          <t xml:space="preserve">2022-07-01</t>
        </is>
      </c>
      <c r="F125" t="inlineStr">
        <is>
          <t xml:space="preserve">2023-07-01</t>
        </is>
      </c>
      <c r="G125" t="inlineStr">
        <is>
          <t xml:space="preserve">2023-07-01</t>
        </is>
      </c>
      <c r="H125" t="inlineStr">
        <is>
          <t xml:space="preserve">2023-10-01</t>
        </is>
      </c>
      <c r="I125" s="7">
        <v>-0.0553559196615182</v>
      </c>
      <c r="J125" s="5">
        <v>0.5884908371623101</v>
      </c>
      <c r="K125" s="5">
        <v>-1.38325181049533</v>
      </c>
      <c r="L125" s="7">
        <v>0.09941358301060835</v>
      </c>
      <c r="M125" s="6">
        <v>32</v>
      </c>
      <c r="N125" t="inlineStr">
        <is>
          <t xml:space="preserve">no</t>
        </is>
      </c>
    </row>
    <row r="126">
      <c r="A126" s="6">
        <v>10</v>
      </c>
      <c r="B126" t="inlineStr">
        <is>
          <t xml:space="preserve">squeeze-momentum</t>
        </is>
      </c>
      <c r="C126" t="inlineStr">
        <is>
          <t xml:space="preserve">defaults</t>
        </is>
      </c>
      <c r="D126" s="6">
        <v>1</v>
      </c>
      <c r="E126" t="inlineStr">
        <is>
          <t xml:space="preserve">2021-01-01</t>
        </is>
      </c>
      <c r="F126" t="inlineStr">
        <is>
          <t xml:space="preserve">2022-01-01</t>
        </is>
      </c>
      <c r="G126" t="inlineStr">
        <is>
          <t xml:space="preserve">2022-01-01</t>
        </is>
      </c>
      <c r="H126" t="inlineStr">
        <is>
          <t xml:space="preserve">2022-04-01</t>
        </is>
      </c>
      <c r="I126" s="7">
        <v>0.0165456854410011</v>
      </c>
      <c r="J126" s="5">
        <v>1.6833496348100876</v>
      </c>
      <c r="K126" s="5">
        <v>1.6446517551892266</v>
      </c>
      <c r="L126" s="7">
        <v>0.02062201727348076</v>
      </c>
      <c r="M126" s="6">
        <v>17</v>
      </c>
      <c r="N126" t="inlineStr">
        <is>
          <t xml:space="preserve">yes</t>
        </is>
      </c>
    </row>
    <row r="127">
      <c r="A127" s="6">
        <v>10</v>
      </c>
      <c r="B127" t="inlineStr">
        <is>
          <t xml:space="preserve">squeeze-momentum</t>
        </is>
      </c>
      <c r="C127" t="inlineStr">
        <is>
          <t xml:space="preserve">defaults</t>
        </is>
      </c>
      <c r="D127" s="6">
        <v>2</v>
      </c>
      <c r="E127" t="inlineStr">
        <is>
          <t xml:space="preserve">2021-07-01</t>
        </is>
      </c>
      <c r="F127" t="inlineStr">
        <is>
          <t xml:space="preserve">2022-07-01</t>
        </is>
      </c>
      <c r="G127" t="inlineStr">
        <is>
          <t xml:space="preserve">2022-07-01</t>
        </is>
      </c>
      <c r="H127" t="inlineStr">
        <is>
          <t xml:space="preserve">2022-10-01</t>
        </is>
      </c>
      <c r="I127" s="7">
        <v>-0.024138832345485417</v>
      </c>
      <c r="J127" s="5">
        <v>0.44458769664785674</v>
      </c>
      <c r="K127" s="5">
        <v>-2.4993458396746844</v>
      </c>
      <c r="L127" s="7">
        <v>0.02611102246182513</v>
      </c>
      <c r="M127" s="6">
        <v>15</v>
      </c>
      <c r="N127" t="inlineStr">
        <is>
          <t xml:space="preserve">no</t>
        </is>
      </c>
    </row>
    <row r="128">
      <c r="A128" s="6">
        <v>10</v>
      </c>
      <c r="B128" t="inlineStr">
        <is>
          <t xml:space="preserve">squeeze-momentum</t>
        </is>
      </c>
      <c r="C128" t="inlineStr">
        <is>
          <t xml:space="preserve">defaults</t>
        </is>
      </c>
      <c r="D128" s="6">
        <v>3</v>
      </c>
      <c r="E128" t="inlineStr">
        <is>
          <t xml:space="preserve">2022-01-01</t>
        </is>
      </c>
      <c r="F128" t="inlineStr">
        <is>
          <t xml:space="preserve">2023-01-01</t>
        </is>
      </c>
      <c r="G128" t="inlineStr">
        <is>
          <t xml:space="preserve">2023-01-01</t>
        </is>
      </c>
      <c r="H128" t="inlineStr">
        <is>
          <t xml:space="preserve">2023-04-01</t>
        </is>
      </c>
      <c r="I128" s="7">
        <v>0.027659087920066217</v>
      </c>
      <c r="J128" s="5">
        <v>1.778223800415269</v>
      </c>
      <c r="K128" s="5">
        <v>1.2203982777463254</v>
      </c>
      <c r="L128" s="7">
        <v>0.029987532235400637</v>
      </c>
      <c r="M128" s="6">
        <v>17</v>
      </c>
      <c r="N128" t="inlineStr">
        <is>
          <t xml:space="preserve">yes</t>
        </is>
      </c>
    </row>
    <row r="129">
      <c r="A129" s="6">
        <v>10</v>
      </c>
      <c r="B129" t="inlineStr">
        <is>
          <t xml:space="preserve">squeeze-momentum</t>
        </is>
      </c>
      <c r="C129" t="inlineStr">
        <is>
          <t xml:space="preserve">defaults</t>
        </is>
      </c>
      <c r="D129" s="6">
        <v>4</v>
      </c>
      <c r="E129" t="inlineStr">
        <is>
          <t xml:space="preserve">2022-07-01</t>
        </is>
      </c>
      <c r="F129" t="inlineStr">
        <is>
          <t xml:space="preserve">2023-07-01</t>
        </is>
      </c>
      <c r="G129" t="inlineStr">
        <is>
          <t xml:space="preserve">2023-07-01</t>
        </is>
      </c>
      <c r="H129" t="inlineStr">
        <is>
          <t xml:space="preserve">2023-10-01</t>
        </is>
      </c>
      <c r="I129" s="7">
        <v>-0.006253812442449269</v>
      </c>
      <c r="J129" s="5">
        <v>0.9108367027010141</v>
      </c>
      <c r="K129" s="5">
        <v>-0.18444196555017206</v>
      </c>
      <c r="L129" s="7">
        <v>0.04085743290994848</v>
      </c>
      <c r="M129" s="6">
        <v>20</v>
      </c>
      <c r="N129" t="inlineStr">
        <is>
          <t xml:space="preserve">no</t>
        </is>
      </c>
    </row>
    <row r="130">
      <c r="A130" s="6">
        <v>10</v>
      </c>
      <c r="B130" t="inlineStr">
        <is>
          <t xml:space="preserve">ichimoku-cloud</t>
        </is>
      </c>
      <c r="C130" t="inlineStr">
        <is>
          <t xml:space="preserve">defaults</t>
        </is>
      </c>
      <c r="D130" s="6">
        <v>1</v>
      </c>
      <c r="E130" t="inlineStr">
        <is>
          <t xml:space="preserve">2021-01-01</t>
        </is>
      </c>
      <c r="F130" t="inlineStr">
        <is>
          <t xml:space="preserve">2022-01-01</t>
        </is>
      </c>
      <c r="G130" t="inlineStr">
        <is>
          <t xml:space="preserve">2022-01-01</t>
        </is>
      </c>
      <c r="H130" t="inlineStr">
        <is>
          <t xml:space="preserve">2022-04-01</t>
        </is>
      </c>
      <c r="I130" s="7">
        <v>0.01247779653156722</v>
      </c>
      <c r="J130" s="5">
        <v>1.2203094603661298</v>
      </c>
      <c r="K130" s="5">
        <v>0.6677099671074754</v>
      </c>
      <c r="L130" s="7">
        <v>0.039936268232358935</v>
      </c>
      <c r="M130" s="6">
        <v>18</v>
      </c>
      <c r="N130" t="inlineStr">
        <is>
          <t xml:space="preserve">yes</t>
        </is>
      </c>
    </row>
    <row r="131">
      <c r="A131" s="6">
        <v>10</v>
      </c>
      <c r="B131" t="inlineStr">
        <is>
          <t xml:space="preserve">ichimoku-cloud</t>
        </is>
      </c>
      <c r="C131" t="inlineStr">
        <is>
          <t xml:space="preserve">defaults</t>
        </is>
      </c>
      <c r="D131" s="6">
        <v>2</v>
      </c>
      <c r="E131" t="inlineStr">
        <is>
          <t xml:space="preserve">2021-07-01</t>
        </is>
      </c>
      <c r="F131" t="inlineStr">
        <is>
          <t xml:space="preserve">2022-07-01</t>
        </is>
      </c>
      <c r="G131" t="inlineStr">
        <is>
          <t xml:space="preserve">2022-07-01</t>
        </is>
      </c>
      <c r="H131" t="inlineStr">
        <is>
          <t xml:space="preserve">2022-10-01</t>
        </is>
      </c>
      <c r="I131" s="7">
        <v>-0.03444334132078841</v>
      </c>
      <c r="J131" s="5">
        <v>0.5832719727234166</v>
      </c>
      <c r="K131" s="5">
        <v>-1.3611939886198614</v>
      </c>
      <c r="L131" s="7">
        <v>0.05652726036962446</v>
      </c>
      <c r="M131" s="6">
        <v>29</v>
      </c>
      <c r="N131" t="inlineStr">
        <is>
          <t xml:space="preserve">no</t>
        </is>
      </c>
    </row>
    <row r="132">
      <c r="A132" s="6">
        <v>10</v>
      </c>
      <c r="B132" t="inlineStr">
        <is>
          <t xml:space="preserve">ichimoku-cloud</t>
        </is>
      </c>
      <c r="C132" t="inlineStr">
        <is>
          <t xml:space="preserve">defaults</t>
        </is>
      </c>
      <c r="D132" s="6">
        <v>3</v>
      </c>
      <c r="E132" t="inlineStr">
        <is>
          <t xml:space="preserve">2022-01-01</t>
        </is>
      </c>
      <c r="F132" t="inlineStr">
        <is>
          <t xml:space="preserve">2023-01-01</t>
        </is>
      </c>
      <c r="G132" t="inlineStr">
        <is>
          <t xml:space="preserve">2023-01-01</t>
        </is>
      </c>
      <c r="H132" t="inlineStr">
        <is>
          <t xml:space="preserve">2023-04-01</t>
        </is>
      </c>
      <c r="I132" s="7">
        <v>0.21618450968728542</v>
      </c>
      <c r="J132" s="5">
        <v>7.3621647638131815</v>
      </c>
      <c r="K132" s="5">
        <v>4.755812550768692</v>
      </c>
      <c r="L132" s="7">
        <v>0.027853694412828398</v>
      </c>
      <c r="M132" s="6">
        <v>17</v>
      </c>
      <c r="N132" t="inlineStr">
        <is>
          <t xml:space="preserve">yes</t>
        </is>
      </c>
    </row>
    <row r="133">
      <c r="A133" s="6">
        <v>10</v>
      </c>
      <c r="B133" t="inlineStr">
        <is>
          <t xml:space="preserve">ichimoku-cloud</t>
        </is>
      </c>
      <c r="C133" t="inlineStr">
        <is>
          <t xml:space="preserve">defaults</t>
        </is>
      </c>
      <c r="D133" s="6">
        <v>4</v>
      </c>
      <c r="E133" t="inlineStr">
        <is>
          <t xml:space="preserve">2022-07-01</t>
        </is>
      </c>
      <c r="F133" t="inlineStr">
        <is>
          <t xml:space="preserve">2023-07-01</t>
        </is>
      </c>
      <c r="G133" t="inlineStr">
        <is>
          <t xml:space="preserve">2023-07-01</t>
        </is>
      </c>
      <c r="H133" t="inlineStr">
        <is>
          <t xml:space="preserve">2023-10-01</t>
        </is>
      </c>
      <c r="I133" s="7">
        <v>-0.028972930294783317</v>
      </c>
      <c r="J133" s="5">
        <v>0.7520332210328197</v>
      </c>
      <c r="K133" s="5">
        <v>-0.7450451573164234</v>
      </c>
      <c r="L133" s="7">
        <v>0.09382914344174091</v>
      </c>
      <c r="M133" s="6">
        <v>29</v>
      </c>
      <c r="N133" t="inlineStr">
        <is>
          <t xml:space="preserve">no</t>
        </is>
      </c>
    </row>
    <row r="134">
      <c r="A134" s="6">
        <v>11</v>
      </c>
      <c r="B134" t="inlineStr">
        <is>
          <t xml:space="preserve">dca-grid-long</t>
        </is>
      </c>
      <c r="C134" t="inlineStr">
        <is>
          <t xml:space="preserve">defaults</t>
        </is>
      </c>
      <c r="D134" s="6">
        <v>1</v>
      </c>
      <c r="E134" t="inlineStr">
        <is>
          <t xml:space="preserve">2021-01-01</t>
        </is>
      </c>
      <c r="F134" t="inlineStr">
        <is>
          <t xml:space="preserve">2022-01-01</t>
        </is>
      </c>
      <c r="G134" t="inlineStr">
        <is>
          <t xml:space="preserve">2022-01-01</t>
        </is>
      </c>
      <c r="H134" t="inlineStr">
        <is>
          <t xml:space="preserve">2022-04-01</t>
        </is>
      </c>
      <c r="I134" s="7">
        <v>-0.013402034798560614</v>
      </c>
      <c r="J134" s="5">
        <v>0.6793500572424949</v>
      </c>
      <c r="K134" s="5">
        <v>-1.5978433639819065</v>
      </c>
      <c r="L134" s="7">
        <v>0.023295775808849804</v>
      </c>
      <c r="M134" s="6">
        <v>152</v>
      </c>
      <c r="N134" t="inlineStr">
        <is>
          <t xml:space="preserve">no</t>
        </is>
      </c>
    </row>
    <row r="135">
      <c r="A135" s="6">
        <v>11</v>
      </c>
      <c r="B135" t="inlineStr">
        <is>
          <t xml:space="preserve">dca-grid-long</t>
        </is>
      </c>
      <c r="C135" t="inlineStr">
        <is>
          <t xml:space="preserve">defaults</t>
        </is>
      </c>
      <c r="D135" s="6">
        <v>2</v>
      </c>
      <c r="E135" t="inlineStr">
        <is>
          <t xml:space="preserve">2021-07-01</t>
        </is>
      </c>
      <c r="F135" t="inlineStr">
        <is>
          <t xml:space="preserve">2022-07-01</t>
        </is>
      </c>
      <c r="G135" t="inlineStr">
        <is>
          <t xml:space="preserve">2022-07-01</t>
        </is>
      </c>
      <c r="H135" t="inlineStr">
        <is>
          <t xml:space="preserve">2022-10-01</t>
        </is>
      </c>
      <c r="I135" s="7">
        <v>-0.005398425365076065</v>
      </c>
      <c r="J135" s="5">
        <v>0.8281249360132189</v>
      </c>
      <c r="K135" s="5">
        <v>-0.5914365586420697</v>
      </c>
      <c r="L135" s="7">
        <v>0.02570203756800575</v>
      </c>
      <c r="M135" s="6">
        <v>133</v>
      </c>
      <c r="N135" t="inlineStr">
        <is>
          <t xml:space="preserve">no</t>
        </is>
      </c>
    </row>
    <row r="136">
      <c r="A136" s="6">
        <v>11</v>
      </c>
      <c r="B136" t="inlineStr">
        <is>
          <t xml:space="preserve">dca-grid-long</t>
        </is>
      </c>
      <c r="C136" t="inlineStr">
        <is>
          <t xml:space="preserve">defaults</t>
        </is>
      </c>
      <c r="D136" s="6">
        <v>3</v>
      </c>
      <c r="E136" t="inlineStr">
        <is>
          <t xml:space="preserve">2022-01-01</t>
        </is>
      </c>
      <c r="F136" t="inlineStr">
        <is>
          <t xml:space="preserve">2023-01-01</t>
        </is>
      </c>
      <c r="G136" t="inlineStr">
        <is>
          <t xml:space="preserve">2023-01-01</t>
        </is>
      </c>
      <c r="H136" t="inlineStr">
        <is>
          <t xml:space="preserve">2023-04-01</t>
        </is>
      </c>
      <c r="I136" s="7">
        <v>0.011876762223292925</v>
      </c>
      <c r="J136" s="5">
        <v>2.1417020790716177</v>
      </c>
      <c r="K136" s="5">
        <v>2.2997614089261473</v>
      </c>
      <c r="L136" s="7">
        <v>0.010696864222202512</v>
      </c>
      <c r="M136" s="6">
        <v>121</v>
      </c>
      <c r="N136" t="inlineStr">
        <is>
          <t xml:space="preserve">yes</t>
        </is>
      </c>
    </row>
    <row r="137">
      <c r="A137" s="6">
        <v>11</v>
      </c>
      <c r="B137" t="inlineStr">
        <is>
          <t xml:space="preserve">dca-grid-long</t>
        </is>
      </c>
      <c r="C137" t="inlineStr">
        <is>
          <t xml:space="preserve">defaults</t>
        </is>
      </c>
      <c r="D137" s="6">
        <v>4</v>
      </c>
      <c r="E137" t="inlineStr">
        <is>
          <t xml:space="preserve">2022-07-01</t>
        </is>
      </c>
      <c r="F137" t="inlineStr">
        <is>
          <t xml:space="preserve">2023-07-01</t>
        </is>
      </c>
      <c r="G137" t="inlineStr">
        <is>
          <t xml:space="preserve">2023-07-01</t>
        </is>
      </c>
      <c r="H137" t="inlineStr">
        <is>
          <t xml:space="preserve">2023-10-01</t>
        </is>
      </c>
      <c r="I137" s="7">
        <v>-0.006128626991824371</v>
      </c>
      <c r="J137" s="5">
        <v>0.4276777893659756</v>
      </c>
      <c r="K137" s="5">
        <v>-1.3631995857141401</v>
      </c>
      <c r="L137" s="7">
        <v>0.014820566306090662</v>
      </c>
      <c r="M137" s="6">
        <v>22</v>
      </c>
      <c r="N137" t="inlineStr">
        <is>
          <t xml:space="preserve">no</t>
        </is>
      </c>
    </row>
    <row r="138">
      <c r="A138" s="6">
        <v>11</v>
      </c>
      <c r="B138" t="inlineStr">
        <is>
          <t xml:space="preserve">dca-grid-short</t>
        </is>
      </c>
      <c r="C138" t="inlineStr">
        <is>
          <t xml:space="preserve">defaults</t>
        </is>
      </c>
      <c r="D138" s="6">
        <v>1</v>
      </c>
      <c r="E138" t="inlineStr">
        <is>
          <t xml:space="preserve">2021-01-01</t>
        </is>
      </c>
      <c r="F138" t="inlineStr">
        <is>
          <t xml:space="preserve">2022-01-01</t>
        </is>
      </c>
      <c r="G138" t="inlineStr">
        <is>
          <t xml:space="preserve">2022-01-01</t>
        </is>
      </c>
      <c r="H138" t="inlineStr">
        <is>
          <t xml:space="preserve">2022-04-01</t>
        </is>
      </c>
      <c r="I138" s="7">
        <v>-0.01669260373265502</v>
      </c>
      <c r="J138" s="5">
        <v>0.6720659138545967</v>
      </c>
      <c r="K138" s="5">
        <v>-1.4682500003114667</v>
      </c>
      <c r="L138" s="7">
        <v>0.03251753251625252</v>
      </c>
      <c r="M138" s="6">
        <v>153</v>
      </c>
      <c r="N138" t="inlineStr">
        <is>
          <t xml:space="preserve">no</t>
        </is>
      </c>
    </row>
    <row r="139">
      <c r="A139" s="6">
        <v>11</v>
      </c>
      <c r="B139" t="inlineStr">
        <is>
          <t xml:space="preserve">dca-grid-short</t>
        </is>
      </c>
      <c r="C139" t="inlineStr">
        <is>
          <t xml:space="preserve">defaults</t>
        </is>
      </c>
      <c r="D139" s="6">
        <v>2</v>
      </c>
      <c r="E139" t="inlineStr">
        <is>
          <t xml:space="preserve">2021-07-01</t>
        </is>
      </c>
      <c r="F139" t="inlineStr">
        <is>
          <t xml:space="preserve">2022-07-01</t>
        </is>
      </c>
      <c r="G139" t="inlineStr">
        <is>
          <t xml:space="preserve">2022-07-01</t>
        </is>
      </c>
      <c r="H139" t="inlineStr">
        <is>
          <t xml:space="preserve">2022-10-01</t>
        </is>
      </c>
      <c r="I139" s="7">
        <v>-0.010269978940480318</v>
      </c>
      <c r="J139" s="5">
        <v>0.7455472610861568</v>
      </c>
      <c r="K139" s="5">
        <v>-1.0981128008326642</v>
      </c>
      <c r="L139" s="7">
        <v>0.02182206000867741</v>
      </c>
      <c r="M139" s="6">
        <v>134</v>
      </c>
      <c r="N139" t="inlineStr">
        <is>
          <t xml:space="preserve">no</t>
        </is>
      </c>
    </row>
    <row r="140">
      <c r="A140" s="6">
        <v>11</v>
      </c>
      <c r="B140" t="inlineStr">
        <is>
          <t xml:space="preserve">dca-grid-short</t>
        </is>
      </c>
      <c r="C140" t="inlineStr">
        <is>
          <t xml:space="preserve">defaults</t>
        </is>
      </c>
      <c r="D140" s="6">
        <v>3</v>
      </c>
      <c r="E140" t="inlineStr">
        <is>
          <t xml:space="preserve">2022-01-01</t>
        </is>
      </c>
      <c r="F140" t="inlineStr">
        <is>
          <t xml:space="preserve">2023-01-01</t>
        </is>
      </c>
      <c r="G140" t="inlineStr">
        <is>
          <t xml:space="preserve">2023-01-01</t>
        </is>
      </c>
      <c r="H140" t="inlineStr">
        <is>
          <t xml:space="preserve">2023-04-01</t>
        </is>
      </c>
      <c r="I140" s="7">
        <v>-0.0430472666526912</v>
      </c>
      <c r="J140" s="5">
        <v>0.2789754840247104</v>
      </c>
      <c r="K140" s="5">
        <v>-4.884547000541184</v>
      </c>
      <c r="L140" s="7">
        <v>0.04790331397646199</v>
      </c>
      <c r="M140" s="6">
        <v>86</v>
      </c>
      <c r="N140" t="inlineStr">
        <is>
          <t xml:space="preserve">no</t>
        </is>
      </c>
    </row>
    <row r="141">
      <c r="A141" s="6">
        <v>11</v>
      </c>
      <c r="B141" t="inlineStr">
        <is>
          <t xml:space="preserve">dca-grid-short</t>
        </is>
      </c>
      <c r="C141" t="inlineStr">
        <is>
          <t xml:space="preserve">defaults</t>
        </is>
      </c>
      <c r="D141" s="6">
        <v>4</v>
      </c>
      <c r="E141" t="inlineStr">
        <is>
          <t xml:space="preserve">2022-07-01</t>
        </is>
      </c>
      <c r="F141" t="inlineStr">
        <is>
          <t xml:space="preserve">2023-07-01</t>
        </is>
      </c>
      <c r="G141" t="inlineStr">
        <is>
          <t xml:space="preserve">2023-07-01</t>
        </is>
      </c>
      <c r="H141" t="inlineStr">
        <is>
          <t xml:space="preserve">2023-10-01</t>
        </is>
      </c>
      <c r="I141" s="7">
        <v>0.005958041489880106</v>
      </c>
      <c r="J141" s="5">
        <v>3.2270308034166764</v>
      </c>
      <c r="K141" s="5">
        <v>1.829106809679152</v>
      </c>
      <c r="L141" s="7">
        <v>0.004202798948337415</v>
      </c>
      <c r="M141" s="6">
        <v>43</v>
      </c>
      <c r="N141" t="inlineStr">
        <is>
          <t xml:space="preserve">yes</t>
        </is>
      </c>
    </row>
    <row r="142">
      <c r="A142" s="6">
        <v>11</v>
      </c>
      <c r="B142" t="inlineStr">
        <is>
          <t xml:space="preserve">dca-rsi-long</t>
        </is>
      </c>
      <c r="C142" t="inlineStr">
        <is>
          <t xml:space="preserve">defaults</t>
        </is>
      </c>
      <c r="D142" s="6">
        <v>1</v>
      </c>
      <c r="E142" t="inlineStr">
        <is>
          <t xml:space="preserve">2021-01-01</t>
        </is>
      </c>
      <c r="F142" t="inlineStr">
        <is>
          <t xml:space="preserve">2022-01-01</t>
        </is>
      </c>
      <c r="G142" t="inlineStr">
        <is>
          <t xml:space="preserve">2022-01-01</t>
        </is>
      </c>
      <c r="H142" t="inlineStr">
        <is>
          <t xml:space="preserve">2022-04-01</t>
        </is>
      </c>
      <c r="I142" s="7">
        <v>-0.016695408072435414</v>
      </c>
      <c r="J142" s="5">
        <v>0.17595438982712344</v>
      </c>
      <c r="K142" s="5">
        <v>-3.267162308555064</v>
      </c>
      <c r="L142" s="7">
        <v>0.024144009097612537</v>
      </c>
      <c r="M142" s="6">
        <v>19</v>
      </c>
      <c r="N142" t="inlineStr">
        <is>
          <t xml:space="preserve">no</t>
        </is>
      </c>
    </row>
    <row r="143">
      <c r="A143" s="6">
        <v>11</v>
      </c>
      <c r="B143" t="inlineStr">
        <is>
          <t xml:space="preserve">dca-rsi-long</t>
        </is>
      </c>
      <c r="C143" t="inlineStr">
        <is>
          <t xml:space="preserve">defaults</t>
        </is>
      </c>
      <c r="D143" s="6">
        <v>2</v>
      </c>
      <c r="E143" t="inlineStr">
        <is>
          <t xml:space="preserve">2021-07-01</t>
        </is>
      </c>
      <c r="F143" t="inlineStr">
        <is>
          <t xml:space="preserve">2022-07-01</t>
        </is>
      </c>
      <c r="G143" t="inlineStr">
        <is>
          <t xml:space="preserve">2022-07-01</t>
        </is>
      </c>
      <c r="H143" t="inlineStr">
        <is>
          <t xml:space="preserve">2022-10-01</t>
        </is>
      </c>
      <c r="I143" s="7">
        <v>-0.017811838781537692</v>
      </c>
      <c r="J143" s="5">
        <v>0.12593025732330115</v>
      </c>
      <c r="K143" s="5">
        <v>-3.097243979711989</v>
      </c>
      <c r="L143" s="7">
        <v>0.01982204643216822</v>
      </c>
      <c r="M143" s="6">
        <v>14</v>
      </c>
      <c r="N143" t="inlineStr">
        <is>
          <t xml:space="preserve">no</t>
        </is>
      </c>
    </row>
    <row r="144">
      <c r="A144" s="6">
        <v>11</v>
      </c>
      <c r="B144" t="inlineStr">
        <is>
          <t xml:space="preserve">dca-rsi-long</t>
        </is>
      </c>
      <c r="C144" t="inlineStr">
        <is>
          <t xml:space="preserve">defaults</t>
        </is>
      </c>
      <c r="D144" s="6">
        <v>3</v>
      </c>
      <c r="E144" t="inlineStr">
        <is>
          <t xml:space="preserve">2022-01-01</t>
        </is>
      </c>
      <c r="F144" t="inlineStr">
        <is>
          <t xml:space="preserve">2023-01-01</t>
        </is>
      </c>
      <c r="G144" t="inlineStr">
        <is>
          <t xml:space="preserve">2023-01-01</t>
        </is>
      </c>
      <c r="H144" t="inlineStr">
        <is>
          <t xml:space="preserve">2023-04-01</t>
        </is>
      </c>
      <c r="I144" s="7">
        <v>0.0025416016027701716</v>
      </c>
      <c r="J144" s="5" t="inlineStr">
        <is>
          <t xml:space="preserve">∞</t>
        </is>
      </c>
      <c r="K144" s="5">
        <v>2.3121270721937495</v>
      </c>
      <c r="L144" s="7">
        <v>0.0035343356430423455</v>
      </c>
      <c r="M144" s="6">
        <v>13</v>
      </c>
      <c r="N144" t="inlineStr">
        <is>
          <t xml:space="preserve">yes</t>
        </is>
      </c>
    </row>
    <row r="145">
      <c r="A145" s="6">
        <v>11</v>
      </c>
      <c r="B145" t="inlineStr">
        <is>
          <t xml:space="preserve">dca-rsi-long</t>
        </is>
      </c>
      <c r="C145" t="inlineStr">
        <is>
          <t xml:space="preserve">defaults</t>
        </is>
      </c>
      <c r="D145" s="6">
        <v>4</v>
      </c>
      <c r="E145" t="inlineStr">
        <is>
          <t xml:space="preserve">2022-07-01</t>
        </is>
      </c>
      <c r="F145" t="inlineStr">
        <is>
          <t xml:space="preserve">2023-07-01</t>
        </is>
      </c>
      <c r="G145" t="inlineStr">
        <is>
          <t xml:space="preserve">2023-07-01</t>
        </is>
      </c>
      <c r="H145" t="inlineStr">
        <is>
          <t xml:space="preserve">2023-10-01</t>
        </is>
      </c>
      <c r="I145" s="7">
        <v>-0.007891197856214949</v>
      </c>
      <c r="J145" s="5">
        <v>0.22124113745389612</v>
      </c>
      <c r="K145" s="5">
        <v>-1.5573056177356779</v>
      </c>
      <c r="L145" s="7">
        <v>0.010816842450844107</v>
      </c>
      <c r="M145" s="6">
        <v>13</v>
      </c>
      <c r="N145" t="inlineStr">
        <is>
          <t xml:space="preserve">no</t>
        </is>
      </c>
    </row>
    <row r="146">
      <c r="A146" s="6">
        <v>11</v>
      </c>
      <c r="B146" t="inlineStr">
        <is>
          <t xml:space="preserve">dca-trend-long</t>
        </is>
      </c>
      <c r="C146" t="inlineStr">
        <is>
          <t xml:space="preserve">defaults</t>
        </is>
      </c>
      <c r="D146" s="6">
        <v>1</v>
      </c>
      <c r="E146" t="inlineStr">
        <is>
          <t xml:space="preserve">2021-01-01</t>
        </is>
      </c>
      <c r="F146" t="inlineStr">
        <is>
          <t xml:space="preserve">2022-01-01</t>
        </is>
      </c>
      <c r="G146" t="inlineStr">
        <is>
          <t xml:space="preserve">2022-01-01</t>
        </is>
      </c>
      <c r="H146" t="inlineStr">
        <is>
          <t xml:space="preserve">2022-04-01</t>
        </is>
      </c>
      <c r="I146" s="7">
        <v>0</v>
      </c>
      <c r="J146" s="5"/>
      <c r="K146" s="5">
        <v>0</v>
      </c>
      <c r="L146" s="7">
        <v>0</v>
      </c>
      <c r="M146" s="6">
        <v>0</v>
      </c>
      <c r="N146" t="inlineStr">
        <is>
          <t xml:space="preserve">no</t>
        </is>
      </c>
    </row>
    <row r="147">
      <c r="A147" s="6">
        <v>11</v>
      </c>
      <c r="B147" t="inlineStr">
        <is>
          <t xml:space="preserve">dca-trend-long</t>
        </is>
      </c>
      <c r="C147" t="inlineStr">
        <is>
          <t xml:space="preserve">defaults</t>
        </is>
      </c>
      <c r="D147" s="6">
        <v>2</v>
      </c>
      <c r="E147" t="inlineStr">
        <is>
          <t xml:space="preserve">2021-07-01</t>
        </is>
      </c>
      <c r="F147" t="inlineStr">
        <is>
          <t xml:space="preserve">2022-07-01</t>
        </is>
      </c>
      <c r="G147" t="inlineStr">
        <is>
          <t xml:space="preserve">2022-07-01</t>
        </is>
      </c>
      <c r="H147" t="inlineStr">
        <is>
          <t xml:space="preserve">2022-10-01</t>
        </is>
      </c>
      <c r="I147" s="7">
        <v>0</v>
      </c>
      <c r="J147" s="5"/>
      <c r="K147" s="5">
        <v>0</v>
      </c>
      <c r="L147" s="7">
        <v>0</v>
      </c>
      <c r="M147" s="6">
        <v>0</v>
      </c>
      <c r="N147" t="inlineStr">
        <is>
          <t xml:space="preserve">no</t>
        </is>
      </c>
    </row>
    <row r="148">
      <c r="A148" s="6">
        <v>11</v>
      </c>
      <c r="B148" t="inlineStr">
        <is>
          <t xml:space="preserve">dca-trend-long</t>
        </is>
      </c>
      <c r="C148" t="inlineStr">
        <is>
          <t xml:space="preserve">defaults</t>
        </is>
      </c>
      <c r="D148" s="6">
        <v>3</v>
      </c>
      <c r="E148" t="inlineStr">
        <is>
          <t xml:space="preserve">2022-01-01</t>
        </is>
      </c>
      <c r="F148" t="inlineStr">
        <is>
          <t xml:space="preserve">2023-01-01</t>
        </is>
      </c>
      <c r="G148" t="inlineStr">
        <is>
          <t xml:space="preserve">2023-01-01</t>
        </is>
      </c>
      <c r="H148" t="inlineStr">
        <is>
          <t xml:space="preserve">2023-04-01</t>
        </is>
      </c>
      <c r="I148" s="7">
        <v>0.00979652117873675</v>
      </c>
      <c r="J148" s="5">
        <v>1.9436704678713381</v>
      </c>
      <c r="K148" s="5">
        <v>1.9039994227850767</v>
      </c>
      <c r="L148" s="7">
        <v>0.01069686422220137</v>
      </c>
      <c r="M148" s="6">
        <v>106</v>
      </c>
      <c r="N148" t="inlineStr">
        <is>
          <t xml:space="preserve">yes</t>
        </is>
      </c>
    </row>
    <row r="149">
      <c r="A149" s="6">
        <v>11</v>
      </c>
      <c r="B149" t="inlineStr">
        <is>
          <t xml:space="preserve">dca-trend-long</t>
        </is>
      </c>
      <c r="C149" t="inlineStr">
        <is>
          <t xml:space="preserve">defaults</t>
        </is>
      </c>
      <c r="D149" s="6">
        <v>4</v>
      </c>
      <c r="E149" t="inlineStr">
        <is>
          <t xml:space="preserve">2022-07-01</t>
        </is>
      </c>
      <c r="F149" t="inlineStr">
        <is>
          <t xml:space="preserve">2023-07-01</t>
        </is>
      </c>
      <c r="G149" t="inlineStr">
        <is>
          <t xml:space="preserve">2023-07-01</t>
        </is>
      </c>
      <c r="H149" t="inlineStr">
        <is>
          <t xml:space="preserve">2023-10-01</t>
        </is>
      </c>
      <c r="I149" s="7">
        <v>-0.00823573612636086</v>
      </c>
      <c r="J149" s="5">
        <v>0.225535500054164</v>
      </c>
      <c r="K149" s="5">
        <v>-2.239528114970364</v>
      </c>
      <c r="L149" s="7">
        <v>0.011311171267523196</v>
      </c>
      <c r="M149" s="6">
        <v>12</v>
      </c>
      <c r="N149" t="inlineStr">
        <is>
          <t xml:space="preserve">no</t>
        </is>
      </c>
    </row>
    <row r="150">
      <c r="A150" s="6">
        <v>12</v>
      </c>
      <c r="B150" t="inlineStr">
        <is>
          <t xml:space="preserve">cascade-fade</t>
        </is>
      </c>
      <c r="C150" t="inlineStr">
        <is>
          <t xml:space="preserve">defaults</t>
        </is>
      </c>
      <c r="D150" s="6">
        <v>1</v>
      </c>
      <c r="E150" t="inlineStr">
        <is>
          <t xml:space="preserve">2021-01-01</t>
        </is>
      </c>
      <c r="F150" t="inlineStr">
        <is>
          <t xml:space="preserve">2022-01-01</t>
        </is>
      </c>
      <c r="G150" t="inlineStr">
        <is>
          <t xml:space="preserve">2022-01-01</t>
        </is>
      </c>
      <c r="H150" t="inlineStr">
        <is>
          <t xml:space="preserve">2022-04-01</t>
        </is>
      </c>
      <c r="I150" s="7">
        <v>-0.15649522846901076</v>
      </c>
      <c r="J150" s="5">
        <v>0.36036497822034913</v>
      </c>
      <c r="K150" s="5">
        <v>-4.899790142555291</v>
      </c>
      <c r="L150" s="7">
        <v>0.15949702814789377</v>
      </c>
      <c r="M150" s="6">
        <v>37</v>
      </c>
      <c r="N150" t="inlineStr">
        <is>
          <t xml:space="preserve">no</t>
        </is>
      </c>
    </row>
    <row r="151">
      <c r="A151" s="6">
        <v>12</v>
      </c>
      <c r="B151" t="inlineStr">
        <is>
          <t xml:space="preserve">cascade-fade</t>
        </is>
      </c>
      <c r="C151" t="inlineStr">
        <is>
          <t xml:space="preserve">defaults</t>
        </is>
      </c>
      <c r="D151" s="6">
        <v>2</v>
      </c>
      <c r="E151" t="inlineStr">
        <is>
          <t xml:space="preserve">2021-07-01</t>
        </is>
      </c>
      <c r="F151" t="inlineStr">
        <is>
          <t xml:space="preserve">2022-07-01</t>
        </is>
      </c>
      <c r="G151" t="inlineStr">
        <is>
          <t xml:space="preserve">2022-07-01</t>
        </is>
      </c>
      <c r="H151" t="inlineStr">
        <is>
          <t xml:space="preserve">2022-10-01</t>
        </is>
      </c>
      <c r="I151" s="7">
        <v>-0.005444819072524143</v>
      </c>
      <c r="J151" s="5">
        <v>0.9706274223842214</v>
      </c>
      <c r="K151" s="5">
        <v>-0.049839771112766856</v>
      </c>
      <c r="L151" s="7">
        <v>0.05669994390140469</v>
      </c>
      <c r="M151" s="6">
        <v>29</v>
      </c>
      <c r="N151" t="inlineStr">
        <is>
          <t xml:space="preserve">no</t>
        </is>
      </c>
    </row>
    <row r="152">
      <c r="A152" s="6">
        <v>12</v>
      </c>
      <c r="B152" t="inlineStr">
        <is>
          <t xml:space="preserve">cascade-fade</t>
        </is>
      </c>
      <c r="C152" t="inlineStr">
        <is>
          <t xml:space="preserve">defaults</t>
        </is>
      </c>
      <c r="D152" s="6">
        <v>3</v>
      </c>
      <c r="E152" t="inlineStr">
        <is>
          <t xml:space="preserve">2022-01-01</t>
        </is>
      </c>
      <c r="F152" t="inlineStr">
        <is>
          <t xml:space="preserve">2023-01-01</t>
        </is>
      </c>
      <c r="G152" t="inlineStr">
        <is>
          <t xml:space="preserve">2023-01-01</t>
        </is>
      </c>
      <c r="H152" t="inlineStr">
        <is>
          <t xml:space="preserve">2023-04-01</t>
        </is>
      </c>
      <c r="I152" s="7">
        <v>-0.14336427054544731</v>
      </c>
      <c r="J152" s="5">
        <v>0.4101072414574232</v>
      </c>
      <c r="K152" s="5">
        <v>-4.6702528079691525</v>
      </c>
      <c r="L152" s="7">
        <v>0.16595259194282047</v>
      </c>
      <c r="M152" s="6">
        <v>40</v>
      </c>
      <c r="N152" t="inlineStr">
        <is>
          <t xml:space="preserve">no</t>
        </is>
      </c>
    </row>
    <row r="153">
      <c r="A153" s="6">
        <v>12</v>
      </c>
      <c r="B153" t="inlineStr">
        <is>
          <t xml:space="preserve">cascade-fade</t>
        </is>
      </c>
      <c r="C153" t="inlineStr">
        <is>
          <t xml:space="preserve">defaults</t>
        </is>
      </c>
      <c r="D153" s="6">
        <v>4</v>
      </c>
      <c r="E153" t="inlineStr">
        <is>
          <t xml:space="preserve">2022-07-01</t>
        </is>
      </c>
      <c r="F153" t="inlineStr">
        <is>
          <t xml:space="preserve">2023-07-01</t>
        </is>
      </c>
      <c r="G153" t="inlineStr">
        <is>
          <t xml:space="preserve">2023-07-01</t>
        </is>
      </c>
      <c r="H153" t="inlineStr">
        <is>
          <t xml:space="preserve">2023-10-01</t>
        </is>
      </c>
      <c r="I153" s="7">
        <v>-0.013269973764640786</v>
      </c>
      <c r="J153" s="5">
        <v>0.9040354635529494</v>
      </c>
      <c r="K153" s="5">
        <v>-0.5753685154373417</v>
      </c>
      <c r="L153" s="7">
        <v>0.052152113823450044</v>
      </c>
      <c r="M153" s="6">
        <v>36</v>
      </c>
      <c r="N153" t="inlineStr">
        <is>
          <t xml:space="preserve">no</t>
        </is>
      </c>
    </row>
    <row r="154">
      <c r="A154" s="6">
        <v>12</v>
      </c>
      <c r="B154" t="inlineStr">
        <is>
          <t xml:space="preserve">turmoil-reversal</t>
        </is>
      </c>
      <c r="C154" t="inlineStr">
        <is>
          <t xml:space="preserve">defaults</t>
        </is>
      </c>
      <c r="D154" s="6">
        <v>1</v>
      </c>
      <c r="E154" t="inlineStr">
        <is>
          <t xml:space="preserve">2021-01-01</t>
        </is>
      </c>
      <c r="F154" t="inlineStr">
        <is>
          <t xml:space="preserve">2022-01-01</t>
        </is>
      </c>
      <c r="G154" t="inlineStr">
        <is>
          <t xml:space="preserve">2022-01-01</t>
        </is>
      </c>
      <c r="H154" t="inlineStr">
        <is>
          <t xml:space="preserve">2022-04-01</t>
        </is>
      </c>
      <c r="I154" s="7">
        <v>0.0625138190637784</v>
      </c>
      <c r="J154" s="5">
        <v>4.7583097222535375</v>
      </c>
      <c r="K154" s="5">
        <v>2.936018660738031</v>
      </c>
      <c r="L154" s="7">
        <v>0.011296328248930908</v>
      </c>
      <c r="M154" s="6">
        <v>8</v>
      </c>
      <c r="N154" t="inlineStr">
        <is>
          <t xml:space="preserve">yes</t>
        </is>
      </c>
    </row>
    <row r="155">
      <c r="A155" s="6">
        <v>12</v>
      </c>
      <c r="B155" t="inlineStr">
        <is>
          <t xml:space="preserve">turmoil-reversal</t>
        </is>
      </c>
      <c r="C155" t="inlineStr">
        <is>
          <t xml:space="preserve">defaults</t>
        </is>
      </c>
      <c r="D155" s="6">
        <v>2</v>
      </c>
      <c r="E155" t="inlineStr">
        <is>
          <t xml:space="preserve">2021-07-01</t>
        </is>
      </c>
      <c r="F155" t="inlineStr">
        <is>
          <t xml:space="preserve">2022-07-01</t>
        </is>
      </c>
      <c r="G155" t="inlineStr">
        <is>
          <t xml:space="preserve">2022-07-01</t>
        </is>
      </c>
      <c r="H155" t="inlineStr">
        <is>
          <t xml:space="preserve">2022-10-01</t>
        </is>
      </c>
      <c r="I155" s="7">
        <v>0.005479420671340884</v>
      </c>
      <c r="J155" s="5">
        <v>1.3714214824635724</v>
      </c>
      <c r="K155" s="5">
        <v>0.727303979675616</v>
      </c>
      <c r="L155" s="7">
        <v>0.0240191773429664</v>
      </c>
      <c r="M155" s="6">
        <v>6</v>
      </c>
      <c r="N155" t="inlineStr">
        <is>
          <t xml:space="preserve">yes</t>
        </is>
      </c>
    </row>
    <row r="156">
      <c r="A156" s="6">
        <v>12</v>
      </c>
      <c r="B156" t="inlineStr">
        <is>
          <t xml:space="preserve">turmoil-reversal</t>
        </is>
      </c>
      <c r="C156" t="inlineStr">
        <is>
          <t xml:space="preserve">defaults</t>
        </is>
      </c>
      <c r="D156" s="6">
        <v>3</v>
      </c>
      <c r="E156" t="inlineStr">
        <is>
          <t xml:space="preserve">2022-01-01</t>
        </is>
      </c>
      <c r="F156" t="inlineStr">
        <is>
          <t xml:space="preserve">2023-01-01</t>
        </is>
      </c>
      <c r="G156" t="inlineStr">
        <is>
          <t xml:space="preserve">2023-01-01</t>
        </is>
      </c>
      <c r="H156" t="inlineStr">
        <is>
          <t xml:space="preserve">2023-04-01</t>
        </is>
      </c>
      <c r="I156" s="7">
        <v>-0.03254502139319937</v>
      </c>
      <c r="J156" s="5">
        <v>0.7101056061558122</v>
      </c>
      <c r="K156" s="5">
        <v>-1.329018905177749</v>
      </c>
      <c r="L156" s="7">
        <v>0.06466302770882672</v>
      </c>
      <c r="M156" s="6">
        <v>24</v>
      </c>
      <c r="N156" t="inlineStr">
        <is>
          <t xml:space="preserve">no</t>
        </is>
      </c>
    </row>
    <row r="157">
      <c r="A157" s="6">
        <v>12</v>
      </c>
      <c r="B157" t="inlineStr">
        <is>
          <t xml:space="preserve">turmoil-reversal</t>
        </is>
      </c>
      <c r="C157" t="inlineStr">
        <is>
          <t xml:space="preserve">defaults</t>
        </is>
      </c>
      <c r="D157" s="6">
        <v>4</v>
      </c>
      <c r="E157" t="inlineStr">
        <is>
          <t xml:space="preserve">2022-07-01</t>
        </is>
      </c>
      <c r="F157" t="inlineStr">
        <is>
          <t xml:space="preserve">2023-07-01</t>
        </is>
      </c>
      <c r="G157" t="inlineStr">
        <is>
          <t xml:space="preserve">2023-07-01</t>
        </is>
      </c>
      <c r="H157" t="inlineStr">
        <is>
          <t xml:space="preserve">2023-10-01</t>
        </is>
      </c>
      <c r="I157" s="7">
        <v>0.0030970364220683777</v>
      </c>
      <c r="J157" s="5" t="inlineStr">
        <is>
          <t xml:space="preserve">∞</t>
        </is>
      </c>
      <c r="K157" s="5">
        <v>2.3575101750610457</v>
      </c>
      <c r="L157" s="7">
        <v>0.005038928467111327</v>
      </c>
      <c r="M157" s="6">
        <v>1</v>
      </c>
      <c r="N157" t="inlineStr">
        <is>
          <t xml:space="preserve">yes</t>
        </is>
      </c>
    </row>
    <row r="158">
      <c r="A158" s="6">
        <v>12</v>
      </c>
      <c r="B158" t="inlineStr">
        <is>
          <t xml:space="preserve">round-number-bounce</t>
        </is>
      </c>
      <c r="C158" t="inlineStr">
        <is>
          <t xml:space="preserve">defaults</t>
        </is>
      </c>
      <c r="D158" s="6">
        <v>1</v>
      </c>
      <c r="E158" t="inlineStr">
        <is>
          <t xml:space="preserve">2021-01-01</t>
        </is>
      </c>
      <c r="F158" t="inlineStr">
        <is>
          <t xml:space="preserve">2022-01-01</t>
        </is>
      </c>
      <c r="G158" t="inlineStr">
        <is>
          <t xml:space="preserve">2022-01-01</t>
        </is>
      </c>
      <c r="H158" t="inlineStr">
        <is>
          <t xml:space="preserve">2022-04-01</t>
        </is>
      </c>
      <c r="I158" s="7">
        <v>-0.11081809613935366</v>
      </c>
      <c r="J158" s="5">
        <v>0.6007517366570782</v>
      </c>
      <c r="K158" s="5">
        <v>-2.671592454967858</v>
      </c>
      <c r="L158" s="7">
        <v>0.13843820432337972</v>
      </c>
      <c r="M158" s="6">
        <v>40</v>
      </c>
      <c r="N158" t="inlineStr">
        <is>
          <t xml:space="preserve">no</t>
        </is>
      </c>
    </row>
    <row r="159">
      <c r="A159" s="6">
        <v>12</v>
      </c>
      <c r="B159" t="inlineStr">
        <is>
          <t xml:space="preserve">round-number-bounce</t>
        </is>
      </c>
      <c r="C159" t="inlineStr">
        <is>
          <t xml:space="preserve">defaults</t>
        </is>
      </c>
      <c r="D159" s="6">
        <v>2</v>
      </c>
      <c r="E159" t="inlineStr">
        <is>
          <t xml:space="preserve">2021-07-01</t>
        </is>
      </c>
      <c r="F159" t="inlineStr">
        <is>
          <t xml:space="preserve">2022-07-01</t>
        </is>
      </c>
      <c r="G159" t="inlineStr">
        <is>
          <t xml:space="preserve">2022-07-01</t>
        </is>
      </c>
      <c r="H159" t="inlineStr">
        <is>
          <t xml:space="preserve">2022-10-01</t>
        </is>
      </c>
      <c r="I159" s="7">
        <v>-0.07125835149918236</v>
      </c>
      <c r="J159" s="5">
        <v>0.5405401021094405</v>
      </c>
      <c r="K159" s="5">
        <v>-2.0558030070852107</v>
      </c>
      <c r="L159" s="7">
        <v>0.09978301944988291</v>
      </c>
      <c r="M159" s="6">
        <v>21</v>
      </c>
      <c r="N159" t="inlineStr">
        <is>
          <t xml:space="preserve">no</t>
        </is>
      </c>
    </row>
    <row r="160">
      <c r="A160" s="6">
        <v>12</v>
      </c>
      <c r="B160" t="inlineStr">
        <is>
          <t xml:space="preserve">round-number-bounce</t>
        </is>
      </c>
      <c r="C160" t="inlineStr">
        <is>
          <t xml:space="preserve">defaults</t>
        </is>
      </c>
      <c r="D160" s="6">
        <v>3</v>
      </c>
      <c r="E160" t="inlineStr">
        <is>
          <t xml:space="preserve">2022-01-01</t>
        </is>
      </c>
      <c r="F160" t="inlineStr">
        <is>
          <t xml:space="preserve">2023-01-01</t>
        </is>
      </c>
      <c r="G160" t="inlineStr">
        <is>
          <t xml:space="preserve">2023-01-01</t>
        </is>
      </c>
      <c r="H160" t="inlineStr">
        <is>
          <t xml:space="preserve">2023-04-01</t>
        </is>
      </c>
      <c r="I160" s="7">
        <v>-0.1095366554289785</v>
      </c>
      <c r="J160" s="5">
        <v>0.3863404989008195</v>
      </c>
      <c r="K160" s="5">
        <v>-4.0547133766254</v>
      </c>
      <c r="L160" s="7">
        <v>0.1335918780223077</v>
      </c>
      <c r="M160" s="6">
        <v>26</v>
      </c>
      <c r="N160" t="inlineStr">
        <is>
          <t xml:space="preserve">no</t>
        </is>
      </c>
    </row>
    <row r="161">
      <c r="A161" s="6">
        <v>12</v>
      </c>
      <c r="B161" t="inlineStr">
        <is>
          <t xml:space="preserve">round-number-bounce</t>
        </is>
      </c>
      <c r="C161" t="inlineStr">
        <is>
          <t xml:space="preserve">defaults</t>
        </is>
      </c>
      <c r="D161" s="6">
        <v>4</v>
      </c>
      <c r="E161" t="inlineStr">
        <is>
          <t xml:space="preserve">2022-07-01</t>
        </is>
      </c>
      <c r="F161" t="inlineStr">
        <is>
          <t xml:space="preserve">2023-07-01</t>
        </is>
      </c>
      <c r="G161" t="inlineStr">
        <is>
          <t xml:space="preserve">2023-07-01</t>
        </is>
      </c>
      <c r="H161" t="inlineStr">
        <is>
          <t xml:space="preserve">2023-10-01</t>
        </is>
      </c>
      <c r="I161" s="7">
        <v>0.024563695967337207</v>
      </c>
      <c r="J161" s="5">
        <v>1.3317963956038756</v>
      </c>
      <c r="K161" s="5">
        <v>1.0304873163293404</v>
      </c>
      <c r="L161" s="7">
        <v>0.03176760394583042</v>
      </c>
      <c r="M161" s="6">
        <v>19</v>
      </c>
      <c r="N161" t="inlineStr">
        <is>
          <t xml:space="preserve">yes</t>
        </is>
      </c>
    </row>
  </sheetData>
  <autoFilter ref="A1:N161"/>
  <pageMargins left="0.5" right="0.5" top="0.75" bottom="0.75" header="0.3" footer="0.3"/>
</worksheet>
</file>

<file path=xl/worksheets/sheet5.xml><?xml version="1.0" encoding="utf-8"?>
<worksheet xmlns="http://schemas.openxmlformats.org/spreadsheetml/2006/main">
  <sheetViews>
    <sheetView workbookViewId="0">
      <pane xSplit="2" ySplit="1" topLeftCell="C2" activePane="bottomRight" state="frozen"/>
      <selection pane="bottomRight" activeCell="C2" sqref="C2"/>
    </sheetView>
  </sheetViews>
  <sheetFormatPr defaultRowHeight="13.2"/>
  <cols>
    <col min="1" max="1" width="7" customWidth="1"/>
    <col min="2" max="2" width="28" customWidth="1"/>
    <col min="3" max="3" width="9" customWidth="1"/>
    <col min="4" max="4" width="9" customWidth="1"/>
    <col min="5" max="5" width="9" customWidth="1"/>
    <col min="6" max="6" width="8" customWidth="1"/>
    <col min="7" max="7" width="9" customWidth="1"/>
    <col min="8" max="8" width="16" customWidth="1"/>
    <col min="9" max="9" width="9" customWidth="1"/>
    <col min="10" max="10" width="30" customWidth="1"/>
    <col min="11" max="11" width="40" customWidth="1"/>
    <col min="12" max="12" width="9" customWidth="1"/>
    <col min="13" max="13" width="9" customWidth="1"/>
    <col min="14" max="14" width="8" customWidth="1"/>
    <col min="15" max="15" width="10" customWidth="1"/>
    <col min="16" max="16" width="14" customWidth="1"/>
    <col min="17" max="17" width="50" customWidth="1"/>
  </cols>
  <sheetData>
    <row r="1">
      <c r="A1" s="1" t="inlineStr">
        <is>
          <t xml:space="preserve">Cycle</t>
        </is>
      </c>
      <c r="B1" s="1" t="inlineStr">
        <is>
          <t xml:space="preserve">Strategy</t>
        </is>
      </c>
      <c r="C1" s="1" t="inlineStr">
        <is>
          <t xml:space="preserve">Objective</t>
        </is>
      </c>
      <c r="D1" s="1" t="inlineStr">
        <is>
          <t xml:space="preserve">Grid points</t>
        </is>
      </c>
      <c r="E1" s="1" t="inlineStr">
        <is>
          <t xml:space="preserve">Evaluated</t>
        </is>
      </c>
      <c r="F1" s="1" t="inlineStr">
        <is>
          <t xml:space="preserve">Sampled</t>
        </is>
      </c>
      <c r="G1" s="1" t="inlineStr">
        <is>
          <t xml:space="preserve">Enough trades</t>
        </is>
      </c>
      <c r="H1" s="1" t="inlineStr">
        <is>
          <t xml:space="preserve">Best at edge of</t>
        </is>
      </c>
      <c r="I1" s="1" t="inlineStr">
        <is>
          <t xml:space="preserve">Plateau passed</t>
        </is>
      </c>
      <c r="J1" s="1" t="inlineStr">
        <is>
          <t xml:space="preserve">Optimizer verdict</t>
        </is>
      </c>
      <c r="K1" s="1" t="inlineStr">
        <is>
          <t xml:space="preserve">Best parameters</t>
        </is>
      </c>
      <c r="L1" s="1" t="inlineStr">
        <is>
          <t xml:space="preserve">Best Sharpe</t>
        </is>
      </c>
      <c r="M1" s="1" t="inlineStr">
        <is>
          <t xml:space="preserve">Best PF</t>
        </is>
      </c>
      <c r="N1" s="1" t="inlineStr">
        <is>
          <t xml:space="preserve">Best trades</t>
        </is>
      </c>
      <c r="O1" s="1" t="inlineStr">
        <is>
          <t xml:space="preserve">Best daily Sharpe</t>
        </is>
      </c>
      <c r="P1" s="1" t="inlineStr">
        <is>
          <t xml:space="preserve">Stopped at</t>
        </is>
      </c>
      <c r="Q1" s="1" t="inlineStr">
        <is>
          <t xml:space="preserve">Kill reasons</t>
        </is>
      </c>
    </row>
    <row r="2">
      <c r="A2" s="6">
        <v>5</v>
      </c>
      <c r="B2" t="inlineStr">
        <is>
          <t xml:space="preserve">funding-crowding-fade</t>
        </is>
      </c>
      <c r="C2" t="inlineStr">
        <is>
          <t xml:space="preserve">sharpe</t>
        </is>
      </c>
      <c r="D2" s="6">
        <v>150</v>
      </c>
      <c r="E2" s="6">
        <v>150</v>
      </c>
      <c r="F2" t="inlineStr">
        <is>
          <t xml:space="preserve">no</t>
        </is>
      </c>
      <c r="G2" s="6">
        <v>104</v>
      </c>
      <c r="H2" t="inlineStr">
        <is>
          <t xml:space="preserve">quantile</t>
        </is>
      </c>
      <c r="I2" t="inlineStr">
        <is>
          <t xml:space="preserve">yes</t>
        </is>
      </c>
      <c r="J2" t="inlineStr">
        <is>
          <t xml:space="preserve">best point is on the edge of: quantile</t>
        </is>
      </c>
      <c r="K2" t="inlineStr">
        <is>
          <t xml:space="preserve">quantile=0.3, holdBars=96, stopMult=1.5</t>
        </is>
      </c>
      <c r="L2" s="5">
        <v>0.9807741478776408</v>
      </c>
      <c r="M2" s="5">
        <v>1.3742214111168842</v>
      </c>
      <c r="N2" s="6">
        <v>198</v>
      </c>
      <c r="O2" s="9">
        <v>0.05133606516571891</v>
      </c>
      <c r="P2" t="inlineStr">
        <is>
          <t xml:space="preserve">optimization</t>
        </is>
      </c>
      <c r="Q2" t="inlineStr">
        <is>
          <t xml:space="preserve">optimum on the search-range edge of quantile</t>
        </is>
      </c>
    </row>
    <row r="3">
      <c r="A3" s="6">
        <v>8</v>
      </c>
      <c r="B3" t="inlineStr">
        <is>
          <t xml:space="preserve">funding-fade-wide</t>
        </is>
      </c>
      <c r="C3" t="inlineStr">
        <is>
          <t xml:space="preserve">sharpe</t>
        </is>
      </c>
      <c r="D3" s="6">
        <v>100</v>
      </c>
      <c r="E3" s="6">
        <v>100</v>
      </c>
      <c r="F3" t="inlineStr">
        <is>
          <t xml:space="preserve">no</t>
        </is>
      </c>
      <c r="G3" s="6">
        <v>87</v>
      </c>
      <c r="I3" t="inlineStr">
        <is>
          <t xml:space="preserve">yes</t>
        </is>
      </c>
      <c r="K3" t="inlineStr">
        <is>
          <t xml:space="preserve">quantile=0.3, holdBars=96, stopMult=1.5</t>
        </is>
      </c>
      <c r="L3" s="5">
        <v>0.9807741478776408</v>
      </c>
      <c r="M3" s="5">
        <v>1.3742214111168842</v>
      </c>
      <c r="N3" s="6">
        <v>198</v>
      </c>
      <c r="O3" s="9">
        <v>0.05133606516571891</v>
      </c>
      <c r="P3" t="inlineStr">
        <is>
          <t xml:space="preserve">locked-oos</t>
        </is>
      </c>
      <c r="Q3" t="inlineStr">
        <is>
          <t xml:space="preserve">PF 1.00 &lt; 1.10; Sharpe 0.02 &lt; 0.50</t>
        </is>
      </c>
    </row>
  </sheetData>
  <autoFilter ref="A1:Q3"/>
  <pageMargins left="0.5" right="0.5" top="0.75" bottom="0.75" header="0.3" footer="0.3"/>
</worksheet>
</file>

<file path=xl/worksheets/sheet6.xml><?xml version="1.0" encoding="utf-8"?>
<worksheet xmlns="http://schemas.openxmlformats.org/spreadsheetml/2006/main">
  <sheetViews>
    <sheetView workbookViewId="0">
      <pane xSplit="2" ySplit="1" topLeftCell="C2" activePane="bottomRight" state="frozen"/>
      <selection pane="bottomRight" activeCell="C2" sqref="C2"/>
    </sheetView>
  </sheetViews>
  <sheetFormatPr defaultRowHeight="13.2"/>
  <cols>
    <col min="1" max="1" width="7" customWidth="1"/>
    <col min="2" max="2" width="28" customWidth="1"/>
    <col min="3" max="3" width="12" customWidth="1"/>
    <col min="4" max="4" width="5" customWidth="1"/>
    <col min="5" max="5" width="44" customWidth="1"/>
    <col min="6" max="6" width="9" customWidth="1"/>
    <col min="7" max="7" width="9" customWidth="1"/>
    <col min="8" max="8" width="8" customWidth="1"/>
    <col min="9" max="9" width="10" customWidth="1"/>
  </cols>
  <sheetData>
    <row r="1">
      <c r="A1" s="1" t="inlineStr">
        <is>
          <t xml:space="preserve">Cycle</t>
        </is>
      </c>
      <c r="B1" s="1" t="inlineStr">
        <is>
          <t xml:space="preserve">Strategy</t>
        </is>
      </c>
      <c r="C1" s="1" t="inlineStr">
        <is>
          <t xml:space="preserve">Set</t>
        </is>
      </c>
      <c r="D1" s="1" t="inlineStr">
        <is>
          <t xml:space="preserve">#</t>
        </is>
      </c>
      <c r="E1" s="1" t="inlineStr">
        <is>
          <t xml:space="preserve">Parameters</t>
        </is>
      </c>
      <c r="F1" s="1" t="inlineStr">
        <is>
          <t xml:space="preserve">Sharpe</t>
        </is>
      </c>
      <c r="G1" s="1" t="inlineStr">
        <is>
          <t xml:space="preserve">Profit factor</t>
        </is>
      </c>
      <c r="H1" s="1" t="inlineStr">
        <is>
          <t xml:space="preserve">Trades</t>
        </is>
      </c>
      <c r="I1" s="1" t="inlineStr">
        <is>
          <t xml:space="preserve">Daily Sharpe</t>
        </is>
      </c>
    </row>
    <row r="2">
      <c r="A2" s="6">
        <v>5</v>
      </c>
      <c r="B2" t="inlineStr">
        <is>
          <t xml:space="preserve">funding-crowding-fade</t>
        </is>
      </c>
      <c r="C2" t="inlineStr">
        <is>
          <t xml:space="preserve">top 10</t>
        </is>
      </c>
      <c r="D2" s="6">
        <v>1</v>
      </c>
      <c r="E2" t="inlineStr">
        <is>
          <t xml:space="preserve">quantile=0.3, holdBars=96, stopMult=1.5</t>
        </is>
      </c>
      <c r="F2" s="5">
        <v>0.9807741478776408</v>
      </c>
      <c r="G2" s="5">
        <v>1.3742214111168842</v>
      </c>
      <c r="H2" s="6">
        <v>198</v>
      </c>
      <c r="I2" s="9">
        <v>0.05133606516571891</v>
      </c>
    </row>
    <row r="3">
      <c r="A3" s="6">
        <v>5</v>
      </c>
      <c r="B3" t="inlineStr">
        <is>
          <t xml:space="preserve">funding-crowding-fade</t>
        </is>
      </c>
      <c r="C3" t="inlineStr">
        <is>
          <t xml:space="preserve">top 10</t>
        </is>
      </c>
      <c r="D3" s="6">
        <v>2</v>
      </c>
      <c r="E3" t="inlineStr">
        <is>
          <t xml:space="preserve">quantile=0.3, holdBars=120, stopMult=1.5</t>
        </is>
      </c>
      <c r="F3" s="5">
        <v>0.9349733286936606</v>
      </c>
      <c r="G3" s="5">
        <v>1.3736596225239392</v>
      </c>
      <c r="H3" s="6">
        <v>174</v>
      </c>
      <c r="I3" s="9">
        <v>0.048938740722206504</v>
      </c>
    </row>
    <row r="4">
      <c r="A4" s="6">
        <v>5</v>
      </c>
      <c r="B4" t="inlineStr">
        <is>
          <t xml:space="preserve">funding-crowding-fade</t>
        </is>
      </c>
      <c r="C4" t="inlineStr">
        <is>
          <t xml:space="preserve">top 10</t>
        </is>
      </c>
      <c r="D4" s="6">
        <v>3</v>
      </c>
      <c r="E4" t="inlineStr">
        <is>
          <t xml:space="preserve">quantile=0.25, holdBars=96, stopMult=1.5</t>
        </is>
      </c>
      <c r="F4" s="5">
        <v>0.8516028030680497</v>
      </c>
      <c r="G4" s="5">
        <v>1.3368228419307022</v>
      </c>
      <c r="H4" s="6">
        <v>177</v>
      </c>
      <c r="I4" s="9">
        <v>0.04457492796706999</v>
      </c>
    </row>
    <row r="5">
      <c r="A5" s="6">
        <v>5</v>
      </c>
      <c r="B5" t="inlineStr">
        <is>
          <t xml:space="preserve">funding-crowding-fade</t>
        </is>
      </c>
      <c r="C5" t="inlineStr">
        <is>
          <t xml:space="preserve">top 10</t>
        </is>
      </c>
      <c r="D5" s="6">
        <v>4</v>
      </c>
      <c r="E5" t="inlineStr">
        <is>
          <t xml:space="preserve">quantile=0.3, holdBars=120, stopMult=2.5</t>
        </is>
      </c>
      <c r="F5" s="5">
        <v>0.7621299049825787</v>
      </c>
      <c r="G5" s="5">
        <v>1.3075584601348365</v>
      </c>
      <c r="H5" s="6">
        <v>164</v>
      </c>
      <c r="I5" s="9">
        <v>0.039891702438928825</v>
      </c>
    </row>
    <row r="6">
      <c r="A6" s="6">
        <v>5</v>
      </c>
      <c r="B6" t="inlineStr">
        <is>
          <t xml:space="preserve">funding-crowding-fade</t>
        </is>
      </c>
      <c r="C6" t="inlineStr">
        <is>
          <t xml:space="preserve">top 10</t>
        </is>
      </c>
      <c r="D6" s="6">
        <v>5</v>
      </c>
      <c r="E6" t="inlineStr">
        <is>
          <t xml:space="preserve">quantile=0.3, holdBars=120, stopMult=2</t>
        </is>
      </c>
      <c r="F6" s="5">
        <v>0.7397924926003397</v>
      </c>
      <c r="G6" s="5">
        <v>1.2935733740716382</v>
      </c>
      <c r="H6" s="6">
        <v>168</v>
      </c>
      <c r="I6" s="9">
        <v>0.03872250883796615</v>
      </c>
    </row>
    <row r="7">
      <c r="A7" s="6">
        <v>5</v>
      </c>
      <c r="B7" t="inlineStr">
        <is>
          <t xml:space="preserve">funding-crowding-fade</t>
        </is>
      </c>
      <c r="C7" t="inlineStr">
        <is>
          <t xml:space="preserve">top 10</t>
        </is>
      </c>
      <c r="D7" s="6">
        <v>6</v>
      </c>
      <c r="E7" t="inlineStr">
        <is>
          <t xml:space="preserve">quantile=0.3, holdBars=96, stopMult=2</t>
        </is>
      </c>
      <c r="F7" s="5">
        <v>0.6828518421661752</v>
      </c>
      <c r="G7" s="5">
        <v>1.2448980118471122</v>
      </c>
      <c r="H7" s="6">
        <v>194</v>
      </c>
      <c r="I7" s="9">
        <v>0.035742098977457296</v>
      </c>
    </row>
    <row r="8">
      <c r="A8" s="6">
        <v>5</v>
      </c>
      <c r="B8" t="inlineStr">
        <is>
          <t xml:space="preserve">funding-crowding-fade</t>
        </is>
      </c>
      <c r="C8" t="inlineStr">
        <is>
          <t xml:space="preserve">top 10</t>
        </is>
      </c>
      <c r="D8" s="6">
        <v>7</v>
      </c>
      <c r="E8" t="inlineStr">
        <is>
          <t xml:space="preserve">quantile=0.3, holdBars=96, stopMult=1</t>
        </is>
      </c>
      <c r="F8" s="5">
        <v>0.6721239058292453</v>
      </c>
      <c r="G8" s="5">
        <v>1.2048646216937737</v>
      </c>
      <c r="H8" s="6">
        <v>218</v>
      </c>
      <c r="I8" s="9">
        <v>0.0351805731255799</v>
      </c>
    </row>
    <row r="9">
      <c r="A9" s="6">
        <v>5</v>
      </c>
      <c r="B9" t="inlineStr">
        <is>
          <t xml:space="preserve">funding-crowding-fade</t>
        </is>
      </c>
      <c r="C9" t="inlineStr">
        <is>
          <t xml:space="preserve">top 10</t>
        </is>
      </c>
      <c r="D9" s="6">
        <v>8</v>
      </c>
      <c r="E9" t="inlineStr">
        <is>
          <t xml:space="preserve">quantile=0.3, holdBars=120, stopMult=3</t>
        </is>
      </c>
      <c r="F9" s="5">
        <v>0.6478179671893282</v>
      </c>
      <c r="G9" s="5">
        <v>1.2638229937344299</v>
      </c>
      <c r="H9" s="6">
        <v>162</v>
      </c>
      <c r="I9" s="9">
        <v>0.033908342151065654</v>
      </c>
    </row>
    <row r="10">
      <c r="A10" s="6">
        <v>5</v>
      </c>
      <c r="B10" t="inlineStr">
        <is>
          <t xml:space="preserve">funding-crowding-fade</t>
        </is>
      </c>
      <c r="C10" t="inlineStr">
        <is>
          <t xml:space="preserve">top 10</t>
        </is>
      </c>
      <c r="D10" s="6">
        <v>9</v>
      </c>
      <c r="E10" t="inlineStr">
        <is>
          <t xml:space="preserve">quantile=0.2, holdBars=72, stopMult=1.5</t>
        </is>
      </c>
      <c r="F10" s="5">
        <v>0.6057769594309661</v>
      </c>
      <c r="G10" s="5">
        <v>1.2323670698931102</v>
      </c>
      <c r="H10" s="6">
        <v>173</v>
      </c>
      <c r="I10" s="9">
        <v>0.0317078152320129</v>
      </c>
    </row>
    <row r="11">
      <c r="A11" s="6">
        <v>5</v>
      </c>
      <c r="B11" t="inlineStr">
        <is>
          <t xml:space="preserve">funding-crowding-fade</t>
        </is>
      </c>
      <c r="C11" t="inlineStr">
        <is>
          <t xml:space="preserve">top 10</t>
        </is>
      </c>
      <c r="D11" s="6">
        <v>10</v>
      </c>
      <c r="E11" t="inlineStr">
        <is>
          <t xml:space="preserve">quantile=0.2, holdBars=24, stopMult=3</t>
        </is>
      </c>
      <c r="F11" s="5">
        <v>0.5563384761459578</v>
      </c>
      <c r="G11" s="5">
        <v>1.1687248733317372</v>
      </c>
      <c r="H11" s="6">
        <v>315</v>
      </c>
      <c r="I11" s="9">
        <v>0.02912008674721793</v>
      </c>
    </row>
    <row r="12">
      <c r="A12" s="6">
        <v>5</v>
      </c>
      <c r="B12" t="inlineStr">
        <is>
          <t xml:space="preserve">funding-crowding-fade</t>
        </is>
      </c>
      <c r="C12" t="inlineStr">
        <is>
          <t xml:space="preserve">neighbour</t>
        </is>
      </c>
      <c r="D12" s="6">
        <v>1</v>
      </c>
      <c r="E12" t="inlineStr">
        <is>
          <t xml:space="preserve">quantile=0.25, holdBars=96, stopMult=1.5</t>
        </is>
      </c>
      <c r="F12" s="5">
        <v>0.8516028030680497</v>
      </c>
      <c r="G12" s="5">
        <v>1.3368228419307022</v>
      </c>
      <c r="H12" s="6">
        <v>177</v>
      </c>
      <c r="I12" s="9">
        <v>0.04457492796706999</v>
      </c>
    </row>
    <row r="13">
      <c r="A13" s="6">
        <v>5</v>
      </c>
      <c r="B13" t="inlineStr">
        <is>
          <t xml:space="preserve">funding-crowding-fade</t>
        </is>
      </c>
      <c r="C13" t="inlineStr">
        <is>
          <t xml:space="preserve">neighbour</t>
        </is>
      </c>
      <c r="D13" s="6">
        <v>2</v>
      </c>
      <c r="E13" t="inlineStr">
        <is>
          <t xml:space="preserve">quantile=0.3, holdBars=72, stopMult=1.5</t>
        </is>
      </c>
      <c r="F13" s="5">
        <v>0.48609850783479447</v>
      </c>
      <c r="G13" s="5">
        <v>1.1517903143045474</v>
      </c>
      <c r="H13" s="6">
        <v>247</v>
      </c>
      <c r="I13" s="9">
        <v>0.025443558773613786</v>
      </c>
    </row>
    <row r="14">
      <c r="A14" s="6">
        <v>5</v>
      </c>
      <c r="B14" t="inlineStr">
        <is>
          <t xml:space="preserve">funding-crowding-fade</t>
        </is>
      </c>
      <c r="C14" t="inlineStr">
        <is>
          <t xml:space="preserve">neighbour</t>
        </is>
      </c>
      <c r="D14" s="6">
        <v>3</v>
      </c>
      <c r="E14" t="inlineStr">
        <is>
          <t xml:space="preserve">quantile=0.3, holdBars=120, stopMult=1.5</t>
        </is>
      </c>
      <c r="F14" s="5">
        <v>0.9349733286936606</v>
      </c>
      <c r="G14" s="5">
        <v>1.3736596225239392</v>
      </c>
      <c r="H14" s="6">
        <v>174</v>
      </c>
      <c r="I14" s="9">
        <v>0.048938740722206504</v>
      </c>
    </row>
    <row r="15">
      <c r="A15" s="6">
        <v>5</v>
      </c>
      <c r="B15" t="inlineStr">
        <is>
          <t xml:space="preserve">funding-crowding-fade</t>
        </is>
      </c>
      <c r="C15" t="inlineStr">
        <is>
          <t xml:space="preserve">neighbour</t>
        </is>
      </c>
      <c r="D15" s="6">
        <v>4</v>
      </c>
      <c r="E15" t="inlineStr">
        <is>
          <t xml:space="preserve">quantile=0.3, holdBars=96, stopMult=1</t>
        </is>
      </c>
      <c r="F15" s="5">
        <v>0.6721239058292453</v>
      </c>
      <c r="G15" s="5">
        <v>1.2048646216937737</v>
      </c>
      <c r="H15" s="6">
        <v>218</v>
      </c>
      <c r="I15" s="9">
        <v>0.0351805731255799</v>
      </c>
    </row>
    <row r="16">
      <c r="A16" s="6">
        <v>5</v>
      </c>
      <c r="B16" t="inlineStr">
        <is>
          <t xml:space="preserve">funding-crowding-fade</t>
        </is>
      </c>
      <c r="C16" t="inlineStr">
        <is>
          <t xml:space="preserve">neighbour</t>
        </is>
      </c>
      <c r="D16" s="6">
        <v>5</v>
      </c>
      <c r="E16" t="inlineStr">
        <is>
          <t xml:space="preserve">quantile=0.3, holdBars=96, stopMult=2</t>
        </is>
      </c>
      <c r="F16" s="5">
        <v>0.6828518421661752</v>
      </c>
      <c r="G16" s="5">
        <v>1.2448980118471122</v>
      </c>
      <c r="H16" s="6">
        <v>194</v>
      </c>
      <c r="I16" s="9">
        <v>0.035742098977457296</v>
      </c>
    </row>
    <row r="17">
      <c r="A17" s="6">
        <v>8</v>
      </c>
      <c r="B17" t="inlineStr">
        <is>
          <t xml:space="preserve">funding-fade-wide</t>
        </is>
      </c>
      <c r="C17" t="inlineStr">
        <is>
          <t xml:space="preserve">top 10</t>
        </is>
      </c>
      <c r="D17" s="6">
        <v>1</v>
      </c>
      <c r="E17" t="inlineStr">
        <is>
          <t xml:space="preserve">quantile=0.3, holdBars=96, stopMult=1.5</t>
        </is>
      </c>
      <c r="F17" s="5">
        <v>0.9807741478776408</v>
      </c>
      <c r="G17" s="5">
        <v>1.3742214111168842</v>
      </c>
      <c r="H17" s="6">
        <v>198</v>
      </c>
      <c r="I17" s="9">
        <v>0.05133606516571891</v>
      </c>
    </row>
    <row r="18">
      <c r="A18" s="6">
        <v>8</v>
      </c>
      <c r="B18" t="inlineStr">
        <is>
          <t xml:space="preserve">funding-fade-wide</t>
        </is>
      </c>
      <c r="C18" t="inlineStr">
        <is>
          <t xml:space="preserve">top 10</t>
        </is>
      </c>
      <c r="D18" s="6">
        <v>2</v>
      </c>
      <c r="E18" t="inlineStr">
        <is>
          <t xml:space="preserve">quantile=0.3, holdBars=144, stopMult=1.5</t>
        </is>
      </c>
      <c r="F18" s="5">
        <v>0.9562595507839708</v>
      </c>
      <c r="G18" s="5">
        <v>1.4177569811951027</v>
      </c>
      <c r="H18" s="6">
        <v>158</v>
      </c>
      <c r="I18" s="9">
        <v>0.05005291250857017</v>
      </c>
    </row>
    <row r="19">
      <c r="A19" s="6">
        <v>8</v>
      </c>
      <c r="B19" t="inlineStr">
        <is>
          <t xml:space="preserve">funding-fade-wide</t>
        </is>
      </c>
      <c r="C19" t="inlineStr">
        <is>
          <t xml:space="preserve">top 10</t>
        </is>
      </c>
      <c r="D19" s="6">
        <v>3</v>
      </c>
      <c r="E19" t="inlineStr">
        <is>
          <t xml:space="preserve">quantile=0.3, holdBars=120, stopMult=1.5</t>
        </is>
      </c>
      <c r="F19" s="5">
        <v>0.9349733286936606</v>
      </c>
      <c r="G19" s="5">
        <v>1.3736596225239392</v>
      </c>
      <c r="H19" s="6">
        <v>174</v>
      </c>
      <c r="I19" s="9">
        <v>0.048938740722206504</v>
      </c>
    </row>
    <row r="20">
      <c r="A20" s="6">
        <v>8</v>
      </c>
      <c r="B20" t="inlineStr">
        <is>
          <t xml:space="preserve">funding-fade-wide</t>
        </is>
      </c>
      <c r="C20" t="inlineStr">
        <is>
          <t xml:space="preserve">top 10</t>
        </is>
      </c>
      <c r="D20" s="6">
        <v>4</v>
      </c>
      <c r="E20" t="inlineStr">
        <is>
          <t xml:space="preserve">quantile=0.3, holdBars=144, stopMult=2</t>
        </is>
      </c>
      <c r="F20" s="5">
        <v>0.8778923028033646</v>
      </c>
      <c r="G20" s="5">
        <v>1.3918253478543472</v>
      </c>
      <c r="H20" s="6">
        <v>153</v>
      </c>
      <c r="I20" s="9">
        <v>0.04595098327450928</v>
      </c>
    </row>
    <row r="21">
      <c r="A21" s="6">
        <v>8</v>
      </c>
      <c r="B21" t="inlineStr">
        <is>
          <t xml:space="preserve">funding-fade-wide</t>
        </is>
      </c>
      <c r="C21" t="inlineStr">
        <is>
          <t xml:space="preserve">top 10</t>
        </is>
      </c>
      <c r="D21" s="6">
        <v>5</v>
      </c>
      <c r="E21" t="inlineStr">
        <is>
          <t xml:space="preserve">quantile=0.25, holdBars=96, stopMult=1.5</t>
        </is>
      </c>
      <c r="F21" s="5">
        <v>0.8516028030680497</v>
      </c>
      <c r="G21" s="5">
        <v>1.3368228419307022</v>
      </c>
      <c r="H21" s="6">
        <v>177</v>
      </c>
      <c r="I21" s="9">
        <v>0.04457492796706999</v>
      </c>
    </row>
    <row r="22">
      <c r="A22" s="6">
        <v>8</v>
      </c>
      <c r="B22" t="inlineStr">
        <is>
          <t xml:space="preserve">funding-fade-wide</t>
        </is>
      </c>
      <c r="C22" t="inlineStr">
        <is>
          <t xml:space="preserve">top 10</t>
        </is>
      </c>
      <c r="D22" s="6">
        <v>6</v>
      </c>
      <c r="E22" t="inlineStr">
        <is>
          <t xml:space="preserve">quantile=0.3, holdBars=144, stopMult=1</t>
        </is>
      </c>
      <c r="F22" s="5">
        <v>0.7762233837089038</v>
      </c>
      <c r="G22" s="5">
        <v>1.2820005391311624</v>
      </c>
      <c r="H22" s="6">
        <v>179</v>
      </c>
      <c r="I22" s="9">
        <v>0.040629388830716304</v>
      </c>
    </row>
    <row r="23">
      <c r="A23" s="6">
        <v>8</v>
      </c>
      <c r="B23" t="inlineStr">
        <is>
          <t xml:space="preserve">funding-fade-wide</t>
        </is>
      </c>
      <c r="C23" t="inlineStr">
        <is>
          <t xml:space="preserve">top 10</t>
        </is>
      </c>
      <c r="D23" s="6">
        <v>7</v>
      </c>
      <c r="E23" t="inlineStr">
        <is>
          <t xml:space="preserve">quantile=0.3, holdBars=120, stopMult=2.5</t>
        </is>
      </c>
      <c r="F23" s="5">
        <v>0.7621299049825787</v>
      </c>
      <c r="G23" s="5">
        <v>1.3075584601348365</v>
      </c>
      <c r="H23" s="6">
        <v>164</v>
      </c>
      <c r="I23" s="9">
        <v>0.039891702438928825</v>
      </c>
    </row>
    <row r="24">
      <c r="A24" s="6">
        <v>8</v>
      </c>
      <c r="B24" t="inlineStr">
        <is>
          <t xml:space="preserve">funding-fade-wide</t>
        </is>
      </c>
      <c r="C24" t="inlineStr">
        <is>
          <t xml:space="preserve">top 10</t>
        </is>
      </c>
      <c r="D24" s="6">
        <v>8</v>
      </c>
      <c r="E24" t="inlineStr">
        <is>
          <t xml:space="preserve">quantile=0.3, holdBars=120, stopMult=2</t>
        </is>
      </c>
      <c r="F24" s="5">
        <v>0.7397924926003397</v>
      </c>
      <c r="G24" s="5">
        <v>1.2935733740716382</v>
      </c>
      <c r="H24" s="6">
        <v>168</v>
      </c>
      <c r="I24" s="9">
        <v>0.03872250883796615</v>
      </c>
    </row>
    <row r="25">
      <c r="A25" s="6">
        <v>8</v>
      </c>
      <c r="B25" t="inlineStr">
        <is>
          <t xml:space="preserve">funding-fade-wide</t>
        </is>
      </c>
      <c r="C25" t="inlineStr">
        <is>
          <t xml:space="preserve">top 10</t>
        </is>
      </c>
      <c r="D25" s="6">
        <v>9</v>
      </c>
      <c r="E25" t="inlineStr">
        <is>
          <t xml:space="preserve">quantile=0.3, holdBars=144, stopMult=2.5</t>
        </is>
      </c>
      <c r="F25" s="5">
        <v>0.7098222247898024</v>
      </c>
      <c r="G25" s="5">
        <v>1.3085390247756556</v>
      </c>
      <c r="H25" s="6">
        <v>151</v>
      </c>
      <c r="I25" s="9">
        <v>0.03715379332411908</v>
      </c>
    </row>
    <row r="26">
      <c r="A26" s="6">
        <v>8</v>
      </c>
      <c r="B26" t="inlineStr">
        <is>
          <t xml:space="preserve">funding-fade-wide</t>
        </is>
      </c>
      <c r="C26" t="inlineStr">
        <is>
          <t xml:space="preserve">top 10</t>
        </is>
      </c>
      <c r="D26" s="6">
        <v>10</v>
      </c>
      <c r="E26" t="inlineStr">
        <is>
          <t xml:space="preserve">quantile=0.3, holdBars=96, stopMult=2</t>
        </is>
      </c>
      <c r="F26" s="5">
        <v>0.6828518421661752</v>
      </c>
      <c r="G26" s="5">
        <v>1.2448980118471122</v>
      </c>
      <c r="H26" s="6">
        <v>194</v>
      </c>
      <c r="I26" s="9">
        <v>0.035742098977457296</v>
      </c>
    </row>
    <row r="27">
      <c r="A27" s="6">
        <v>8</v>
      </c>
      <c r="B27" t="inlineStr">
        <is>
          <t xml:space="preserve">funding-fade-wide</t>
        </is>
      </c>
      <c r="C27" t="inlineStr">
        <is>
          <t xml:space="preserve">neighbour</t>
        </is>
      </c>
      <c r="D27" s="6">
        <v>1</v>
      </c>
      <c r="E27" t="inlineStr">
        <is>
          <t xml:space="preserve">quantile=0.25, holdBars=96, stopMult=1.5</t>
        </is>
      </c>
      <c r="F27" s="5">
        <v>0.8516028030680497</v>
      </c>
      <c r="G27" s="5">
        <v>1.3368228419307022</v>
      </c>
      <c r="H27" s="6">
        <v>177</v>
      </c>
      <c r="I27" s="9">
        <v>0.04457492796706999</v>
      </c>
    </row>
    <row r="28">
      <c r="A28" s="6">
        <v>8</v>
      </c>
      <c r="B28" t="inlineStr">
        <is>
          <t xml:space="preserve">funding-fade-wide</t>
        </is>
      </c>
      <c r="C28" t="inlineStr">
        <is>
          <t xml:space="preserve">neighbour</t>
        </is>
      </c>
      <c r="D28" s="6">
        <v>2</v>
      </c>
      <c r="E28" t="inlineStr">
        <is>
          <t xml:space="preserve">quantile=0.35, holdBars=96, stopMult=1.5</t>
        </is>
      </c>
      <c r="F28" s="5">
        <v>0.6003616057582672</v>
      </c>
      <c r="G28" s="5">
        <v>1.2065675380011627</v>
      </c>
      <c r="H28" s="6">
        <v>211</v>
      </c>
      <c r="I28" s="9">
        <v>0.03142436266585517</v>
      </c>
    </row>
    <row r="29">
      <c r="A29" s="6">
        <v>8</v>
      </c>
      <c r="B29" t="inlineStr">
        <is>
          <t xml:space="preserve">funding-fade-wide</t>
        </is>
      </c>
      <c r="C29" t="inlineStr">
        <is>
          <t xml:space="preserve">neighbour</t>
        </is>
      </c>
      <c r="D29" s="6">
        <v>3</v>
      </c>
      <c r="E29" t="inlineStr">
        <is>
          <t xml:space="preserve">quantile=0.3, holdBars=72, stopMult=1.5</t>
        </is>
      </c>
      <c r="F29" s="5">
        <v>0.48609850783479447</v>
      </c>
      <c r="G29" s="5">
        <v>1.1517903143045474</v>
      </c>
      <c r="H29" s="6">
        <v>247</v>
      </c>
      <c r="I29" s="9">
        <v>0.025443558773613786</v>
      </c>
    </row>
    <row r="30">
      <c r="A30" s="6">
        <v>8</v>
      </c>
      <c r="B30" t="inlineStr">
        <is>
          <t xml:space="preserve">funding-fade-wide</t>
        </is>
      </c>
      <c r="C30" t="inlineStr">
        <is>
          <t xml:space="preserve">neighbour</t>
        </is>
      </c>
      <c r="D30" s="6">
        <v>4</v>
      </c>
      <c r="E30" t="inlineStr">
        <is>
          <t xml:space="preserve">quantile=0.3, holdBars=120, stopMult=1.5</t>
        </is>
      </c>
      <c r="F30" s="5">
        <v>0.9349733286936606</v>
      </c>
      <c r="G30" s="5">
        <v>1.3736596225239392</v>
      </c>
      <c r="H30" s="6">
        <v>174</v>
      </c>
      <c r="I30" s="9">
        <v>0.048938740722206504</v>
      </c>
    </row>
    <row r="31">
      <c r="A31" s="6">
        <v>8</v>
      </c>
      <c r="B31" t="inlineStr">
        <is>
          <t xml:space="preserve">funding-fade-wide</t>
        </is>
      </c>
      <c r="C31" t="inlineStr">
        <is>
          <t xml:space="preserve">neighbour</t>
        </is>
      </c>
      <c r="D31" s="6">
        <v>5</v>
      </c>
      <c r="E31" t="inlineStr">
        <is>
          <t xml:space="preserve">quantile=0.3, holdBars=96, stopMult=1</t>
        </is>
      </c>
      <c r="F31" s="5">
        <v>0.6721239058292453</v>
      </c>
      <c r="G31" s="5">
        <v>1.2048646216937737</v>
      </c>
      <c r="H31" s="6">
        <v>218</v>
      </c>
      <c r="I31" s="9">
        <v>0.0351805731255799</v>
      </c>
    </row>
    <row r="32">
      <c r="A32" s="6">
        <v>8</v>
      </c>
      <c r="B32" t="inlineStr">
        <is>
          <t xml:space="preserve">funding-fade-wide</t>
        </is>
      </c>
      <c r="C32" t="inlineStr">
        <is>
          <t xml:space="preserve">neighbour</t>
        </is>
      </c>
      <c r="D32" s="6">
        <v>6</v>
      </c>
      <c r="E32" t="inlineStr">
        <is>
          <t xml:space="preserve">quantile=0.3, holdBars=96, stopMult=2</t>
        </is>
      </c>
      <c r="F32" s="5">
        <v>0.6828518421661752</v>
      </c>
      <c r="G32" s="5">
        <v>1.2448980118471122</v>
      </c>
      <c r="H32" s="6">
        <v>194</v>
      </c>
      <c r="I32" s="9">
        <v>0.035742098977457296</v>
      </c>
    </row>
  </sheetData>
  <autoFilter ref="A1:I32"/>
  <pageMargins left="0.5" right="0.5" top="0.75" bottom="0.75" header="0.3" footer="0.3"/>
</worksheet>
</file>

<file path=xl/worksheets/sheet7.xml><?xml version="1.0" encoding="utf-8"?>
<worksheet xmlns="http://schemas.openxmlformats.org/spreadsheetml/2006/main">
  <sheetViews>
    <sheetView workbookViewId="0">
      <pane xSplit="2" ySplit="1" topLeftCell="C2" activePane="bottomRight" state="frozen"/>
      <selection pane="bottomRight" activeCell="C2" sqref="C2"/>
    </sheetView>
  </sheetViews>
  <sheetFormatPr defaultRowHeight="13.2"/>
  <cols>
    <col min="1" max="1" width="7" customWidth="1"/>
    <col min="2" max="2" width="28" customWidth="1"/>
    <col min="3" max="3" width="12" customWidth="1"/>
    <col min="4" max="4" width="12" customWidth="1"/>
    <col min="5" max="5" width="10" customWidth="1"/>
    <col min="6" max="6" width="10" customWidth="1"/>
    <col min="7" max="7" width="10" customWidth="1"/>
    <col min="8" max="8" width="9" customWidth="1"/>
    <col min="9" max="9" width="9" customWidth="1"/>
  </cols>
  <sheetData>
    <row r="1">
      <c r="A1" s="1" t="inlineStr">
        <is>
          <t xml:space="preserve">Cycle</t>
        </is>
      </c>
      <c r="B1" s="1" t="inlineStr">
        <is>
          <t xml:space="preserve">Strategy</t>
        </is>
      </c>
      <c r="C1" s="1" t="inlineStr">
        <is>
          <t xml:space="preserve">x base slippage</t>
        </is>
      </c>
      <c r="D1" s="1" t="inlineStr">
        <is>
          <t xml:space="preserve">Slippage / side %</t>
        </is>
      </c>
      <c r="E1" s="1" t="inlineStr">
        <is>
          <t xml:space="preserve">Net %</t>
        </is>
      </c>
      <c r="F1" s="1" t="inlineStr">
        <is>
          <t xml:space="preserve">CAGR %</t>
        </is>
      </c>
      <c r="G1" s="1" t="inlineStr">
        <is>
          <t xml:space="preserve">Max DD %</t>
        </is>
      </c>
      <c r="H1" s="1" t="inlineStr">
        <is>
          <t xml:space="preserve">Profit factor</t>
        </is>
      </c>
      <c r="I1" s="1" t="inlineStr">
        <is>
          <t xml:space="preserve">Sharpe</t>
        </is>
      </c>
    </row>
    <row r="2">
      <c r="A2" s="6">
        <v>8</v>
      </c>
      <c r="B2" t="inlineStr">
        <is>
          <t xml:space="preserve">funding-fade-wide</t>
        </is>
      </c>
      <c r="C2" s="5">
        <v>0</v>
      </c>
      <c r="D2" s="7">
        <v>0</v>
      </c>
      <c r="E2" s="7">
        <v>0.22869554451615048</v>
      </c>
      <c r="F2" s="7">
        <v>0.07111273334513779</v>
      </c>
      <c r="G2" s="7">
        <v>0.05431425235030925</v>
      </c>
      <c r="H2" s="5">
        <v>1.4029146273921451</v>
      </c>
      <c r="I2" s="5">
        <v>1.0405767676537323</v>
      </c>
    </row>
    <row r="3">
      <c r="A3" s="6">
        <v>8</v>
      </c>
      <c r="B3" t="inlineStr">
        <is>
          <t xml:space="preserve">funding-fade-wide</t>
        </is>
      </c>
      <c r="C3" s="5">
        <v>0.5</v>
      </c>
      <c r="D3" s="7">
        <v>0.0001</v>
      </c>
      <c r="E3" s="7">
        <v>0.22084652565256024</v>
      </c>
      <c r="F3" s="7">
        <v>0.0688255070455488</v>
      </c>
      <c r="G3" s="7">
        <v>0.054643796982062794</v>
      </c>
      <c r="H3" s="5">
        <v>1.3884717705410927</v>
      </c>
      <c r="I3" s="5">
        <v>1.0106713339157447</v>
      </c>
    </row>
    <row r="4">
      <c r="A4" s="6">
        <v>8</v>
      </c>
      <c r="B4" t="inlineStr">
        <is>
          <t xml:space="preserve">funding-fade-wide</t>
        </is>
      </c>
      <c r="C4" s="5">
        <v>1</v>
      </c>
      <c r="D4" s="7">
        <v>0.0002</v>
      </c>
      <c r="E4" s="7">
        <v>0.21307525650227688</v>
      </c>
      <c r="F4" s="7">
        <v>0.06655126196518024</v>
      </c>
      <c r="G4" s="7">
        <v>0.054972412579062435</v>
      </c>
      <c r="H4" s="5">
        <v>1.3742214111168842</v>
      </c>
      <c r="I4" s="5">
        <v>0.9807741478776408</v>
      </c>
    </row>
    <row r="5">
      <c r="A5" s="6">
        <v>8</v>
      </c>
      <c r="B5" t="inlineStr">
        <is>
          <t xml:space="preserve">funding-fade-wide</t>
        </is>
      </c>
      <c r="C5" s="5">
        <v>1.5</v>
      </c>
      <c r="D5" s="7">
        <v>0.00030000000000000003</v>
      </c>
      <c r="E5" s="7">
        <v>0.20538072091798742</v>
      </c>
      <c r="F5" s="7">
        <v>0.06428988633036736</v>
      </c>
      <c r="G5" s="7">
        <v>0.05530010308217301</v>
      </c>
      <c r="H5" s="5">
        <v>1.3601571421454155</v>
      </c>
      <c r="I5" s="5">
        <v>0.950885980724853</v>
      </c>
    </row>
    <row r="6">
      <c r="A6" s="6">
        <v>8</v>
      </c>
      <c r="B6" t="inlineStr">
        <is>
          <t xml:space="preserve">funding-fade-wide</t>
        </is>
      </c>
      <c r="C6" s="5">
        <v>2</v>
      </c>
      <c r="D6" s="7">
        <v>0.0004</v>
      </c>
      <c r="E6" s="7">
        <v>0.19776191919526998</v>
      </c>
      <c r="F6" s="7">
        <v>0.06204126967450385</v>
      </c>
      <c r="G6" s="7">
        <v>0.05562687240993237</v>
      </c>
      <c r="H6" s="5">
        <v>1.3462735334082436</v>
      </c>
      <c r="I6" s="5">
        <v>0.9210075981898881</v>
      </c>
    </row>
  </sheetData>
  <autoFilter ref="A1:I6"/>
  <pageMargins left="0.5" right="0.5" top="0.75" bottom="0.75" header="0.3" footer="0.3"/>
</worksheet>
</file>

<file path=xl/worksheets/sheet8.xml><?xml version="1.0" encoding="utf-8"?>
<worksheet xmlns="http://schemas.openxmlformats.org/spreadsheetml/2006/main">
  <sheetViews>
    <sheetView workbookViewId="0">
      <pane ySplit="1" topLeftCell="A2" activePane="bottomLeft" state="frozen"/>
      <selection pane="bottomLeft" activeCell="A2" sqref="A2"/>
    </sheetView>
  </sheetViews>
  <sheetFormatPr defaultRowHeight="13.2"/>
  <cols>
    <col min="1" max="1" width="7" customWidth="1"/>
    <col min="2" max="2" width="28" customWidth="1"/>
    <col min="3" max="3" width="18" customWidth="1"/>
    <col min="4" max="4" width="26" customWidth="1"/>
    <col min="5" max="5" width="18" customWidth="1"/>
    <col min="6" max="6" width="18" customWidth="1"/>
    <col min="7" max="7" width="18" customWidth="1"/>
  </cols>
  <sheetData>
    <row r="1">
      <c r="A1" s="1" t="inlineStr">
        <is>
          <t xml:space="preserve">Cycle</t>
        </is>
      </c>
      <c r="B1" s="1" t="inlineStr">
        <is>
          <t xml:space="preserve">Strategy</t>
        </is>
      </c>
      <c r="C1" s="1" t="inlineStr">
        <is>
          <t xml:space="preserve">Section</t>
        </is>
      </c>
      <c r="D1" s="1" t="inlineStr">
        <is>
          <t xml:space="preserve">Metric</t>
        </is>
      </c>
      <c r="E1" s="1" t="inlineStr">
        <is>
          <t xml:space="preserve">Development</t>
        </is>
      </c>
      <c r="F1" s="1" t="inlineStr">
        <is>
          <t xml:space="preserve">Locked OOS</t>
        </is>
      </c>
      <c r="G1" s="1" t="inlineStr">
        <is>
          <t xml:space="preserve">Buy &amp; hold (OOS)</t>
        </is>
      </c>
    </row>
    <row r="2">
      <c r="A2" s="6">
        <v>8</v>
      </c>
      <c r="B2" t="inlineStr">
        <is>
          <t xml:space="preserve">funding-fade-wide</t>
        </is>
      </c>
      <c r="C2" t="inlineStr">
        <is>
          <t xml:space="preserve">Run</t>
        </is>
      </c>
      <c r="D2" t="inlineStr">
        <is>
          <t xml:space="preserve">Parameters</t>
        </is>
      </c>
      <c r="E2" t="inlineStr">
        <is>
          <t xml:space="preserve">quantile=0.3, holdBars=96, stopMult=1.5</t>
        </is>
      </c>
      <c r="F2" t="inlineStr">
        <is>
          <t xml:space="preserve">quantile=0.3, holdBars=96, stopMult=1.5</t>
        </is>
      </c>
    </row>
    <row r="3">
      <c r="A3" s="6">
        <v>8</v>
      </c>
      <c r="B3" t="inlineStr">
        <is>
          <t xml:space="preserve">funding-fade-wide</t>
        </is>
      </c>
      <c r="C3" t="inlineStr">
        <is>
          <t xml:space="preserve">Run</t>
        </is>
      </c>
      <c r="D3" t="inlineStr">
        <is>
          <t xml:space="preserve">Window</t>
        </is>
      </c>
      <c r="E3" t="inlineStr">
        <is>
          <t xml:space="preserve">2021-01-01 → 2024-01-01</t>
        </is>
      </c>
      <c r="F3" t="inlineStr">
        <is>
          <t xml:space="preserve">2024-01-01 → 2026-10-26</t>
        </is>
      </c>
      <c r="G3" t="inlineStr">
        <is>
          <t xml:space="preserve">2024-01-01 → 2026-10-26</t>
        </is>
      </c>
    </row>
    <row r="4">
      <c r="A4" s="6">
        <v>8</v>
      </c>
      <c r="B4" t="inlineStr">
        <is>
          <t xml:space="preserve">funding-fade-wide</t>
        </is>
      </c>
      <c r="C4" t="inlineStr">
        <is>
          <t xml:space="preserve">Run</t>
        </is>
      </c>
      <c r="D4" t="inlineStr">
        <is>
          <t xml:space="preserve">Outcome</t>
        </is>
      </c>
      <c r="E4" t="inlineStr">
        <is>
          <t xml:space="preserve">REJECTED</t>
        </is>
      </c>
      <c r="F4" t="inlineStr">
        <is>
          <t xml:space="preserve">PF 1.00 &lt; 1.10; Sharpe 0.02 &lt; 0.50</t>
        </is>
      </c>
    </row>
    <row r="5">
      <c r="A5" s="6">
        <v>8</v>
      </c>
      <c r="B5" t="inlineStr">
        <is>
          <t xml:space="preserve">funding-fade-wide</t>
        </is>
      </c>
      <c r="C5" t="inlineStr">
        <is>
          <t xml:space="preserve">Performance</t>
        </is>
      </c>
      <c r="D5" t="inlineStr">
        <is>
          <t xml:space="preserve">Net %</t>
        </is>
      </c>
      <c r="E5" s="7">
        <v>0.21307525650227688</v>
      </c>
      <c r="F5" s="7">
        <v>-0.0016814470684750615</v>
      </c>
      <c r="G5" s="7">
        <v>0.8906673113209236</v>
      </c>
    </row>
    <row r="6">
      <c r="A6" s="6">
        <v>8</v>
      </c>
      <c r="B6" t="inlineStr">
        <is>
          <t xml:space="preserve">funding-fade-wide</t>
        </is>
      </c>
      <c r="C6" t="inlineStr">
        <is>
          <t xml:space="preserve">Performance</t>
        </is>
      </c>
      <c r="D6" t="inlineStr">
        <is>
          <t xml:space="preserve">CAGR %</t>
        </is>
      </c>
      <c r="E6" s="7">
        <v>0.06655126196518024</v>
      </c>
      <c r="F6" s="7">
        <v>-0.000597164143882889</v>
      </c>
      <c r="G6" s="7">
        <v>0.2536787631638251</v>
      </c>
    </row>
    <row r="7">
      <c r="A7" s="6">
        <v>8</v>
      </c>
      <c r="B7" t="inlineStr">
        <is>
          <t xml:space="preserve">funding-fade-wide</t>
        </is>
      </c>
      <c r="C7" t="inlineStr">
        <is>
          <t xml:space="preserve">Performance</t>
        </is>
      </c>
      <c r="D7" t="inlineStr">
        <is>
          <t xml:space="preserve">Profit factor</t>
        </is>
      </c>
      <c r="E7" s="5">
        <v>1.3742214111168842</v>
      </c>
      <c r="F7" s="5">
        <v>0.9973536044343656</v>
      </c>
      <c r="G7" s="5" t="inlineStr">
        <is>
          <t xml:space="preserve">∞</t>
        </is>
      </c>
    </row>
    <row r="8">
      <c r="A8" s="6">
        <v>8</v>
      </c>
      <c r="B8" t="inlineStr">
        <is>
          <t xml:space="preserve">funding-fade-wide</t>
        </is>
      </c>
      <c r="C8" t="inlineStr">
        <is>
          <t xml:space="preserve">Performance</t>
        </is>
      </c>
      <c r="D8" t="inlineStr">
        <is>
          <t xml:space="preserve">Sharpe</t>
        </is>
      </c>
      <c r="E8" s="5">
        <v>0.9807741478776408</v>
      </c>
      <c r="F8" s="5">
        <v>0.023264165842588877</v>
      </c>
      <c r="G8" s="5">
        <v>0.7147316673188014</v>
      </c>
    </row>
    <row r="9">
      <c r="A9" s="6">
        <v>8</v>
      </c>
      <c r="B9" t="inlineStr">
        <is>
          <t xml:space="preserve">funding-fade-wide</t>
        </is>
      </c>
      <c r="C9" t="inlineStr">
        <is>
          <t xml:space="preserve">Performance</t>
        </is>
      </c>
      <c r="D9" t="inlineStr">
        <is>
          <t xml:space="preserve">Sortino</t>
        </is>
      </c>
      <c r="E9" s="5">
        <v>1.5559831457019837</v>
      </c>
      <c r="F9" s="5">
        <v>0.03303450048948191</v>
      </c>
      <c r="G9" s="5">
        <v>1.0817312670405714</v>
      </c>
    </row>
    <row r="10">
      <c r="A10" s="6">
        <v>8</v>
      </c>
      <c r="B10" t="inlineStr">
        <is>
          <t xml:space="preserve">funding-fade-wide</t>
        </is>
      </c>
      <c r="C10" t="inlineStr">
        <is>
          <t xml:space="preserve">Performance</t>
        </is>
      </c>
      <c r="D10" t="inlineStr">
        <is>
          <t xml:space="preserve">Max DD %</t>
        </is>
      </c>
      <c r="E10" s="7">
        <v>0.054972412579062435</v>
      </c>
      <c r="F10" s="7">
        <v>0.09783841781544238</v>
      </c>
      <c r="G10" s="7">
        <v>0.5375535893025393</v>
      </c>
    </row>
    <row r="11">
      <c r="A11" s="6">
        <v>8</v>
      </c>
      <c r="B11" t="inlineStr">
        <is>
          <t xml:space="preserve">funding-fade-wide</t>
        </is>
      </c>
      <c r="C11" t="inlineStr">
        <is>
          <t xml:space="preserve">Performance</t>
        </is>
      </c>
      <c r="D11" t="inlineStr">
        <is>
          <t xml:space="preserve">Trades</t>
        </is>
      </c>
      <c r="E11" s="6">
        <v>198</v>
      </c>
      <c r="F11" s="6">
        <v>195</v>
      </c>
      <c r="G11" s="6">
        <v>1</v>
      </c>
    </row>
    <row r="12">
      <c r="A12" s="6">
        <v>8</v>
      </c>
      <c r="B12" t="inlineStr">
        <is>
          <t xml:space="preserve">funding-fade-wide</t>
        </is>
      </c>
      <c r="C12" t="inlineStr">
        <is>
          <t xml:space="preserve">Performance</t>
        </is>
      </c>
      <c r="D12" t="inlineStr">
        <is>
          <t xml:space="preserve">Trades / yr</t>
        </is>
      </c>
      <c r="E12" s="5">
        <v>66.04520547945206</v>
      </c>
      <c r="F12" s="5">
        <v>69.216472303207</v>
      </c>
      <c r="G12" s="5">
        <v>0.3549562682215744</v>
      </c>
    </row>
    <row r="13">
      <c r="A13" s="6">
        <v>8</v>
      </c>
      <c r="B13" t="inlineStr">
        <is>
          <t xml:space="preserve">funding-fade-wide</t>
        </is>
      </c>
      <c r="C13" t="inlineStr">
        <is>
          <t xml:space="preserve">Performance</t>
        </is>
      </c>
      <c r="D13" t="inlineStr">
        <is>
          <t xml:space="preserve">Win rate %</t>
        </is>
      </c>
      <c r="E13" s="7">
        <v>0.5353535353535354</v>
      </c>
      <c r="F13" s="7">
        <v>0.48717948717948717</v>
      </c>
      <c r="G13" s="7">
        <v>1</v>
      </c>
    </row>
    <row r="14">
      <c r="A14" s="6">
        <v>8</v>
      </c>
      <c r="B14" t="inlineStr">
        <is>
          <t xml:space="preserve">funding-fade-wide</t>
        </is>
      </c>
      <c r="C14" t="inlineStr">
        <is>
          <t xml:space="preserve">Performance</t>
        </is>
      </c>
      <c r="D14" t="inlineStr">
        <is>
          <t xml:space="preserve">Avg trade $</t>
        </is>
      </c>
      <c r="E14" s="8">
        <v>10.761376591023904</v>
      </c>
      <c r="F14" s="8">
        <v>-0.08622805479339914</v>
      </c>
      <c r="G14" s="8">
        <v>8906.673113209232</v>
      </c>
    </row>
    <row r="15">
      <c r="A15" s="6">
        <v>8</v>
      </c>
      <c r="B15" t="inlineStr">
        <is>
          <t xml:space="preserve">funding-fade-wide</t>
        </is>
      </c>
      <c r="C15" t="inlineStr">
        <is>
          <t xml:space="preserve">Performance</t>
        </is>
      </c>
      <c r="D15" t="inlineStr">
        <is>
          <t xml:space="preserve">Time in market %</t>
        </is>
      </c>
      <c r="E15" s="7">
        <v>0.6563165905631659</v>
      </c>
      <c r="F15" s="7">
        <v>0.6678409459021704</v>
      </c>
      <c r="G15" s="7">
        <v>1</v>
      </c>
    </row>
    <row r="16">
      <c r="A16" s="6">
        <v>8</v>
      </c>
      <c r="B16" t="inlineStr">
        <is>
          <t xml:space="preserve">funding-fade-wide</t>
        </is>
      </c>
      <c r="C16" t="inlineStr">
        <is>
          <t xml:space="preserve">Performance</t>
        </is>
      </c>
      <c r="D16" t="inlineStr">
        <is>
          <t xml:space="preserve">Fees $</t>
        </is>
      </c>
      <c r="E16" s="8">
        <v>274.086888664871</v>
      </c>
      <c r="F16" s="8">
        <v>303.4875734694027</v>
      </c>
      <c r="G16" s="8">
        <v>11.564096163237194</v>
      </c>
    </row>
    <row r="17">
      <c r="A17" s="6">
        <v>8</v>
      </c>
      <c r="B17" t="inlineStr">
        <is>
          <t xml:space="preserve">funding-fade-wide</t>
        </is>
      </c>
      <c r="C17" t="inlineStr">
        <is>
          <t xml:space="preserve">Performance</t>
        </is>
      </c>
      <c r="D17" t="inlineStr">
        <is>
          <t xml:space="preserve">Funding received $</t>
        </is>
      </c>
      <c r="E17" s="8">
        <v>290.96374126161595</v>
      </c>
      <c r="F17" s="8">
        <v>83.51431863080663</v>
      </c>
      <c r="G17" s="8">
        <v>0</v>
      </c>
    </row>
    <row r="18">
      <c r="A18" s="6">
        <v>8</v>
      </c>
      <c r="B18" t="inlineStr">
        <is>
          <t xml:space="preserve">funding-fade-wide</t>
        </is>
      </c>
      <c r="C18" t="inlineStr">
        <is>
          <t xml:space="preserve">Performance</t>
        </is>
      </c>
      <c r="D18" t="inlineStr">
        <is>
          <t xml:space="preserve">Final equity $</t>
        </is>
      </c>
      <c r="E18" s="8">
        <v>12130.752565022769</v>
      </c>
      <c r="F18" s="8">
        <v>9983.18552931525</v>
      </c>
      <c r="G18" s="8">
        <v>18906.673113209235</v>
      </c>
    </row>
    <row r="19">
      <c r="A19" s="6">
        <v>8</v>
      </c>
      <c r="B19" t="inlineStr">
        <is>
          <t xml:space="preserve">funding-fade-wide</t>
        </is>
      </c>
      <c r="C19" t="inlineStr">
        <is>
          <t xml:space="preserve">Trade distribution</t>
        </is>
      </c>
      <c r="D19" t="inlineStr">
        <is>
          <t xml:space="preserve">Trades</t>
        </is>
      </c>
      <c r="E19" s="6">
        <v>198</v>
      </c>
      <c r="F19" s="6">
        <v>195</v>
      </c>
    </row>
    <row r="20">
      <c r="A20" s="6">
        <v>8</v>
      </c>
      <c r="B20" t="inlineStr">
        <is>
          <t xml:space="preserve">funding-fade-wide</t>
        </is>
      </c>
      <c r="C20" t="inlineStr">
        <is>
          <t xml:space="preserve">Trade distribution</t>
        </is>
      </c>
      <c r="D20" t="inlineStr">
        <is>
          <t xml:space="preserve">Mean trade %</t>
        </is>
      </c>
      <c r="E20" s="7">
        <v>0.0057161026791317905</v>
      </c>
      <c r="F20" s="7">
        <v>-0.0002607695358191958</v>
      </c>
    </row>
    <row r="21">
      <c r="A21" s="6">
        <v>8</v>
      </c>
      <c r="B21" t="inlineStr">
        <is>
          <t xml:space="preserve">funding-fade-wide</t>
        </is>
      </c>
      <c r="C21" t="inlineStr">
        <is>
          <t xml:space="preserve">Trade distribution</t>
        </is>
      </c>
      <c r="D21" t="inlineStr">
        <is>
          <t xml:space="preserve">Median trade %</t>
        </is>
      </c>
      <c r="E21" s="7">
        <v>0.0021220518100082057</v>
      </c>
      <c r="F21" s="7">
        <v>-0.002243311323599053</v>
      </c>
    </row>
    <row r="22">
      <c r="A22" s="6">
        <v>8</v>
      </c>
      <c r="B22" t="inlineStr">
        <is>
          <t xml:space="preserve">funding-fade-wide</t>
        </is>
      </c>
      <c r="C22" t="inlineStr">
        <is>
          <t xml:space="preserve">Trade distribution</t>
        </is>
      </c>
      <c r="D22" t="inlineStr">
        <is>
          <t xml:space="preserve">5th percentile %</t>
        </is>
      </c>
      <c r="E22" s="7">
        <v>-0.08560870024866338</v>
      </c>
      <c r="F22" s="7">
        <v>-0.06327002293582597</v>
      </c>
    </row>
    <row r="23">
      <c r="A23" s="6">
        <v>8</v>
      </c>
      <c r="B23" t="inlineStr">
        <is>
          <t xml:space="preserve">funding-fade-wide</t>
        </is>
      </c>
      <c r="C23" t="inlineStr">
        <is>
          <t xml:space="preserve">Trade distribution</t>
        </is>
      </c>
      <c r="D23" t="inlineStr">
        <is>
          <t xml:space="preserve">25th percentile %</t>
        </is>
      </c>
      <c r="E23" s="7">
        <v>-0.02727445384878013</v>
      </c>
      <c r="F23" s="7">
        <v>-0.03627566399412098</v>
      </c>
    </row>
    <row r="24">
      <c r="A24" s="6">
        <v>8</v>
      </c>
      <c r="B24" t="inlineStr">
        <is>
          <t xml:space="preserve">funding-fade-wide</t>
        </is>
      </c>
      <c r="C24" t="inlineStr">
        <is>
          <t xml:space="preserve">Trade distribution</t>
        </is>
      </c>
      <c r="D24" t="inlineStr">
        <is>
          <t xml:space="preserve">75th percentile %</t>
        </is>
      </c>
      <c r="E24" s="7">
        <v>0.03560874808474886</v>
      </c>
      <c r="F24" s="7">
        <v>0.026895748531494644</v>
      </c>
    </row>
    <row r="25">
      <c r="A25" s="6">
        <v>8</v>
      </c>
      <c r="B25" t="inlineStr">
        <is>
          <t xml:space="preserve">funding-fade-wide</t>
        </is>
      </c>
      <c r="C25" t="inlineStr">
        <is>
          <t xml:space="preserve">Trade distribution</t>
        </is>
      </c>
      <c r="D25" t="inlineStr">
        <is>
          <t xml:space="preserve">95th percentile %</t>
        </is>
      </c>
      <c r="E25" s="7">
        <v>0.11327431458902107</v>
      </c>
      <c r="F25" s="7">
        <v>0.07098435176012216</v>
      </c>
    </row>
    <row r="26">
      <c r="A26" s="6">
        <v>8</v>
      </c>
      <c r="B26" t="inlineStr">
        <is>
          <t xml:space="preserve">funding-fade-wide</t>
        </is>
      </c>
      <c r="C26" t="inlineStr">
        <is>
          <t xml:space="preserve">Trade distribution</t>
        </is>
      </c>
      <c r="D26" t="inlineStr">
        <is>
          <t xml:space="preserve">Worst trade %</t>
        </is>
      </c>
      <c r="E26" s="7">
        <v>-0.18325498169965737</v>
      </c>
      <c r="F26" s="7">
        <v>-0.07904290722467239</v>
      </c>
    </row>
    <row r="27">
      <c r="A27" s="6">
        <v>8</v>
      </c>
      <c r="B27" t="inlineStr">
        <is>
          <t xml:space="preserve">funding-fade-wide</t>
        </is>
      </c>
      <c r="C27" t="inlineStr">
        <is>
          <t xml:space="preserve">Trade distribution</t>
        </is>
      </c>
      <c r="D27" t="inlineStr">
        <is>
          <t xml:space="preserve">Best trade %</t>
        </is>
      </c>
      <c r="E27" s="7">
        <v>0.22324872049312527</v>
      </c>
      <c r="F27" s="7">
        <v>0.11895816180441343</v>
      </c>
    </row>
    <row r="28">
      <c r="A28" s="6">
        <v>8</v>
      </c>
      <c r="B28" t="inlineStr">
        <is>
          <t xml:space="preserve">funding-fade-wide</t>
        </is>
      </c>
      <c r="C28" t="inlineStr">
        <is>
          <t xml:space="preserve">Trade distribution</t>
        </is>
      </c>
      <c r="D28" t="inlineStr">
        <is>
          <t xml:space="preserve">Avg bars held</t>
        </is>
      </c>
      <c r="E28" s="5">
        <v>88.11111111111111</v>
      </c>
      <c r="F28" s="5">
        <v>85.57948717948717</v>
      </c>
    </row>
    <row r="29">
      <c r="A29" s="6">
        <v>8</v>
      </c>
      <c r="B29" t="inlineStr">
        <is>
          <t xml:space="preserve">funding-fade-wide</t>
        </is>
      </c>
      <c r="C29" t="inlineStr">
        <is>
          <t xml:space="preserve">Trade distribution</t>
        </is>
      </c>
      <c r="D29" t="inlineStr">
        <is>
          <t xml:space="preserve">Win rate %</t>
        </is>
      </c>
      <c r="E29" s="7">
        <v>0.5353535353535354</v>
      </c>
      <c r="F29" s="7">
        <v>0.48717948717948717</v>
      </c>
    </row>
  </sheetData>
  <autoFilter ref="A1:G29"/>
  <pageMargins left="0.5" right="0.5" top="0.75" bottom="0.75" header="0.3" footer="0.3"/>
</worksheet>
</file>

<file path=xl/worksheets/sheet9.xml><?xml version="1.0" encoding="utf-8"?>
<worksheet xmlns="http://schemas.openxmlformats.org/spreadsheetml/2006/main">
  <sheetViews>
    <sheetView workbookViewId="0">
      <pane xSplit="1" ySplit="1" topLeftCell="B2" activePane="bottomRight" state="frozen"/>
      <selection pane="bottomRight" activeCell="B2" sqref="B2"/>
    </sheetView>
  </sheetViews>
  <sheetFormatPr defaultRowHeight="13.2"/>
  <cols>
    <col min="1" max="1" width="7" customWidth="1"/>
    <col min="2" max="2" width="18" customWidth="1"/>
    <col min="3" max="3" width="8" customWidth="1"/>
    <col min="4" max="4" width="34" customWidth="1"/>
    <col min="5" max="5" width="11" customWidth="1"/>
    <col min="6" max="6" width="70" customWidth="1"/>
    <col min="7" max="7" width="9" customWidth="1"/>
    <col min="8" max="8" width="9" customWidth="1"/>
    <col min="9" max="9" width="11" customWidth="1"/>
    <col min="10" max="10" width="12" customWidth="1"/>
    <col min="11" max="11" width="12" customWidth="1"/>
    <col min="12" max="12" width="10" customWidth="1"/>
    <col min="13" max="13" width="12" customWidth="1"/>
    <col min="14" max="14" width="10" customWidth="1"/>
    <col min="15" max="15" width="10" customWidth="1"/>
    <col min="16" max="16" width="10" customWidth="1"/>
    <col min="17" max="17" width="34" customWidth="1"/>
    <col min="18" max="18" width="40" customWidth="1"/>
    <col min="19" max="19" width="100" customWidth="1"/>
  </cols>
  <sheetData>
    <row r="1">
      <c r="A1" s="1" t="inlineStr">
        <is>
          <t xml:space="preserve">Cycle</t>
        </is>
      </c>
      <c r="B1" s="1" t="inlineStr">
        <is>
          <t xml:space="preserve">Run (UTC)</t>
        </is>
      </c>
      <c r="C1" s="1" t="inlineStr">
        <is>
          <t xml:space="preserve">Kind</t>
        </is>
      </c>
      <c r="D1" s="1" t="inlineStr">
        <is>
          <t xml:space="preserve">Step / result</t>
        </is>
      </c>
      <c r="E1" s="1" t="inlineStr">
        <is>
          <t xml:space="preserve">Hypotheses</t>
        </is>
      </c>
      <c r="F1" s="1" t="inlineStr">
        <is>
          <t xml:space="preserve">Strategies</t>
        </is>
      </c>
      <c r="G1" s="1" t="inlineStr">
        <is>
          <t xml:space="preserve">Trials before</t>
        </is>
      </c>
      <c r="H1" s="1" t="inlineStr">
        <is>
          <t xml:space="preserve">Trials this cycle</t>
        </is>
      </c>
      <c r="I1" s="1" t="inlineStr">
        <is>
          <t xml:space="preserve">Cumulative trials</t>
        </is>
      </c>
      <c r="J1" s="1" t="inlineStr">
        <is>
          <t xml:space="preserve">Daily Sharpe variance</t>
        </is>
      </c>
      <c r="K1" s="1" t="inlineStr">
        <is>
          <t xml:space="preserve">Luck bar (ann. Sharpe)</t>
        </is>
      </c>
      <c r="L1" s="1" t="inlineStr">
        <is>
          <t xml:space="preserve">Reached OOS</t>
        </is>
      </c>
      <c r="M1" s="1" t="inlineStr">
        <is>
          <t xml:space="preserve">Champion</t>
        </is>
      </c>
      <c r="N1" s="1" t="inlineStr">
        <is>
          <t xml:space="preserve">B&amp;H dev net %</t>
        </is>
      </c>
      <c r="O1" s="1" t="inlineStr">
        <is>
          <t xml:space="preserve">B&amp;H dev Sharpe</t>
        </is>
      </c>
      <c r="P1" s="1" t="inlineStr">
        <is>
          <t xml:space="preserve">B&amp;H dev max DD %</t>
        </is>
      </c>
      <c r="Q1" s="1" t="inlineStr">
        <is>
          <t xml:space="preserve">Report</t>
        </is>
      </c>
      <c r="R1" s="1" t="inlineStr">
        <is>
          <t xml:space="preserve">Research notes</t>
        </is>
      </c>
      <c r="S1" s="1" t="inlineStr">
        <is>
          <t xml:space="preserve">Warnings</t>
        </is>
      </c>
    </row>
    <row r="2">
      <c r="A2" s="6">
        <v>1</v>
      </c>
      <c r="B2" t="inlineStr">
        <is>
          <t xml:space="preserve">2026-10-26 14:20:15</t>
        </is>
      </c>
      <c r="C2" t="inlineStr">
        <is>
          <t xml:space="preserve">audit</t>
        </is>
      </c>
      <c r="D2" t="inlineStr">
        <is>
          <t xml:space="preserve">STEP 0 - capability &amp; data audit: AUDIT FAILED</t>
        </is>
      </c>
    </row>
    <row r="3">
      <c r="A3" s="6">
        <v>2</v>
      </c>
      <c r="B3" t="inlineStr">
        <is>
          <t xml:space="preserve">2026-10-26 15:01:00</t>
        </is>
      </c>
      <c r="C3" t="inlineStr">
        <is>
          <t xml:space="preserve">audit</t>
        </is>
      </c>
      <c r="D3" t="inlineStr">
        <is>
          <t xml:space="preserve">STEP 0 - capability &amp; data audit (re-run against the local engine): AUDIT PASSED</t>
        </is>
      </c>
    </row>
    <row r="4">
      <c r="A4" s="6">
        <v>3</v>
      </c>
      <c r="B4" t="inlineStr">
        <is>
          <t xml:space="preserve">2026-10-26 15:34:19</t>
        </is>
      </c>
      <c r="C4" t="inlineStr">
        <is>
          <t xml:space="preserve">hunt</t>
        </is>
      </c>
      <c r="D4" t="inlineStr">
        <is>
          <t xml:space="preserve">5 hypotheses, 0 passed</t>
        </is>
      </c>
      <c r="E4" s="6">
        <v>5</v>
      </c>
      <c r="F4" t="inlineStr">
        <is>
          <t xml:space="preserve">donchian-breakout, bollinger-reversion, keltner-breakout, ts-momentum, trend-pullback-rsi</t>
        </is>
      </c>
      <c r="G4" s="6">
        <v>25</v>
      </c>
      <c r="H4" s="6">
        <v>5</v>
      </c>
      <c r="I4" s="6">
        <v>30</v>
      </c>
      <c r="J4" s="9">
        <v>0.0005054339907676697</v>
      </c>
      <c r="K4" s="5">
        <v>0.8905537380385241</v>
      </c>
      <c r="L4" s="6">
        <v>0</v>
      </c>
      <c r="M4" t="inlineStr">
        <is>
          <t xml:space="preserve">none</t>
        </is>
      </c>
      <c r="N4" s="7">
        <v>0.4616821637757711</v>
      </c>
      <c r="O4" s="5">
        <v>0.5192430963884562</v>
      </c>
      <c r="P4" s="7">
        <v>0.7723383649722204</v>
      </c>
      <c r="Q4" t="inlineStr">
        <is>
          <t xml:space="preserve">artifacts/hunt/cycle_3/report.html</t>
        </is>
      </c>
      <c r="S4" t="inlineStr">
        <is>
          <t xml:space="preserve">30 parameter sets have been evaluated on development data so far; the best of that many lucky trials would show a daily Sharpe near 0.0466 (annualized 0.89) with no real edge.; Walk-forward folds use fixed parameters (no per-fold re-optimization, to stay within the optimizer cap); for optimized candidates the test folds lie inside the window the parameters were tuned on, so only the locked OOS run is truly out of sample.; Max drawdown is measured on hourly bar-close equity; intrabar drawdowns are deeper.</t>
        </is>
      </c>
    </row>
    <row r="5">
      <c r="A5" s="6">
        <v>4</v>
      </c>
      <c r="B5" t="inlineStr">
        <is>
          <t xml:space="preserve">2026-10-26 19:23:54</t>
        </is>
      </c>
      <c r="C5" t="inlineStr">
        <is>
          <t xml:space="preserve">hunt</t>
        </is>
      </c>
      <c r="D5" t="inlineStr">
        <is>
          <t xml:space="preserve">5 hypotheses, 0 passed</t>
        </is>
      </c>
      <c r="E5" s="6">
        <v>5</v>
      </c>
      <c r="F5" t="inlineStr">
        <is>
          <t xml:space="preserve">failed-breakout-fade, volume-climax-reversal, session-momentum, impulse-bar-continuation, vol-regime-switch</t>
        </is>
      </c>
      <c r="G5" s="6">
        <v>30</v>
      </c>
      <c r="H5" s="6">
        <v>5</v>
      </c>
      <c r="I5" s="6">
        <v>35</v>
      </c>
      <c r="J5" s="9">
        <v>0.0008644935110072196</v>
      </c>
      <c r="K5" s="5">
        <v>1.1999707860561364</v>
      </c>
      <c r="L5" s="6">
        <v>0</v>
      </c>
      <c r="M5" t="inlineStr">
        <is>
          <t xml:space="preserve">none</t>
        </is>
      </c>
      <c r="N5" s="7">
        <v>0.4616821637757711</v>
      </c>
      <c r="O5" s="5">
        <v>0.5192430963884562</v>
      </c>
      <c r="P5" s="7">
        <v>0.7723383649722204</v>
      </c>
      <c r="Q5" t="inlineStr">
        <is>
          <t xml:space="preserve">artifacts/hunt/cycle_4/report.html</t>
        </is>
      </c>
      <c r="R5" t="inlineStr">
        <is>
          <t xml:space="preserve">artifacts/hunt/cycle_4_ideas/shortlist.md</t>
        </is>
      </c>
      <c r="S5" t="inlineStr">
        <is>
          <t xml:space="preserve">35 parameter sets have been evaluated on development data so far; the best of that many lucky trials would show a daily Sharpe near 0.0628 (annualized 1.20) with no real edge.; Walk-forward folds use fixed parameters (no per-fold re-optimization, to stay within the optimizer cap); for optimized candidates the test folds lie inside the window the parameters were tuned on, so only the locked OOS run is truly out of sample.; Max drawdown is measured on hourly bar-close equity; intrabar drawdowns are deeper.</t>
        </is>
      </c>
    </row>
    <row r="6">
      <c r="A6" s="6">
        <v>5</v>
      </c>
      <c r="B6" t="inlineStr">
        <is>
          <t xml:space="preserve">2026-10-26 20:48:21</t>
        </is>
      </c>
      <c r="C6" t="inlineStr">
        <is>
          <t xml:space="preserve">hunt</t>
        </is>
      </c>
      <c r="D6" t="inlineStr">
        <is>
          <t xml:space="preserve">5 hypotheses, 0 passed</t>
        </is>
      </c>
      <c r="E6" s="6">
        <v>5</v>
      </c>
      <c r="F6" t="inlineStr">
        <is>
          <t xml:space="preserve">donchian-ensemble-trend, funding-crowding-fade, noise-area-momentum, nr-compression-breakout, tsmom-vote</t>
        </is>
      </c>
      <c r="G6" s="6">
        <v>35</v>
      </c>
      <c r="H6" s="6">
        <v>154</v>
      </c>
      <c r="I6" s="6">
        <v>189</v>
      </c>
      <c r="J6" s="9">
        <v>0.0003735163400597453</v>
      </c>
      <c r="K6" s="5">
        <v>1.0142772526727726</v>
      </c>
      <c r="L6" s="6">
        <v>0</v>
      </c>
      <c r="M6" t="inlineStr">
        <is>
          <t xml:space="preserve">none</t>
        </is>
      </c>
      <c r="N6" s="7">
        <v>0.4616821637757711</v>
      </c>
      <c r="O6" s="5">
        <v>0.5192430963884562</v>
      </c>
      <c r="P6" s="7">
        <v>0.7723383649722204</v>
      </c>
      <c r="Q6" t="inlineStr">
        <is>
          <t xml:space="preserve">artifacts/hunt/cycle_5/report.html</t>
        </is>
      </c>
      <c r="R6" t="inlineStr">
        <is>
          <t xml:space="preserve">artifacts/hunt/cycle_5_ideas/research.md</t>
        </is>
      </c>
      <c r="S6" t="inlineStr">
        <is>
          <t xml:space="preserve">189 parameter sets have been evaluated on development data so far; the best of that many lucky trials would show a daily Sharpe near 0.0531 (annualized 1.01) with no real edge.; Walk-forward folds use fixed parameters (no per-fold re-optimization, to stay within the optimizer cap); for optimized candidates the test folds lie inside the window the parameters were tuned on, so only the locked OOS run is truly out of sample.; Max drawdown is measured on hourly bar-close equity; intrabar drawdowns are deeper.</t>
        </is>
      </c>
    </row>
    <row r="7">
      <c r="A7" s="6">
        <v>6</v>
      </c>
      <c r="B7" t="inlineStr">
        <is>
          <t xml:space="preserve">2026-10-26 20:48:22</t>
        </is>
      </c>
      <c r="C7" t="inlineStr">
        <is>
          <t xml:space="preserve">hunt</t>
        </is>
      </c>
      <c r="D7" t="inlineStr">
        <is>
          <t xml:space="preserve">5 hypotheses, 0 passed</t>
        </is>
      </c>
      <c r="E7" s="6">
        <v>5</v>
      </c>
      <c r="F7" t="inlineStr">
        <is>
          <t xml:space="preserve">max-min-daily, mtf-trend-pullback, efficiency-regime-switch, volume-conditioned-reversal, crowding-filtered-breakout</t>
        </is>
      </c>
      <c r="G7" s="6">
        <v>189</v>
      </c>
      <c r="H7" s="6">
        <v>5</v>
      </c>
      <c r="I7" s="6">
        <v>194</v>
      </c>
      <c r="J7" s="9">
        <v>0.0003862961124558094</v>
      </c>
      <c r="K7" s="5">
        <v>1.0347018641216046</v>
      </c>
      <c r="L7" s="6">
        <v>0</v>
      </c>
      <c r="M7" t="inlineStr">
        <is>
          <t xml:space="preserve">none</t>
        </is>
      </c>
      <c r="N7" s="7">
        <v>0.4616821637757711</v>
      </c>
      <c r="O7" s="5">
        <v>0.5192430963884562</v>
      </c>
      <c r="P7" s="7">
        <v>0.7723383649722204</v>
      </c>
      <c r="Q7" t="inlineStr">
        <is>
          <t xml:space="preserve">artifacts/hunt/cycle_6/report.html</t>
        </is>
      </c>
      <c r="R7" t="inlineStr">
        <is>
          <t xml:space="preserve">artifacts/hunt/cycle_5_ideas/research.md</t>
        </is>
      </c>
      <c r="S7" t="inlineStr">
        <is>
          <t xml:space="preserve">194 parameter sets have been evaluated on development data so far; the best of that many lucky trials would show a daily Sharpe near 0.0542 (annualized 1.03) with no real edge.; Walk-forward folds use fixed parameters (no per-fold re-optimization, to stay within the optimizer cap); for optimized candidates the test folds lie inside the window the parameters were tuned on, so only the locked OOS run is truly out of sample.; Max drawdown is measured on hourly bar-close equity; intrabar drawdowns are deeper.</t>
        </is>
      </c>
    </row>
    <row r="8">
      <c r="A8" s="6">
        <v>7</v>
      </c>
      <c r="B8" t="inlineStr">
        <is>
          <t xml:space="preserve">2026-10-26 20:50:57</t>
        </is>
      </c>
      <c r="C8" t="inlineStr">
        <is>
          <t xml:space="preserve">hunt</t>
        </is>
      </c>
      <c r="D8" t="inlineStr">
        <is>
          <t xml:space="preserve">3 hypotheses, 0 passed</t>
        </is>
      </c>
      <c r="E8" s="6">
        <v>3</v>
      </c>
      <c r="F8" t="inlineStr">
        <is>
          <t xml:space="preserve">funding-tilt, ema-cross-control, funding-carry-tilt</t>
        </is>
      </c>
      <c r="G8" s="6">
        <v>194</v>
      </c>
      <c r="H8" s="6">
        <v>3</v>
      </c>
      <c r="I8" s="6">
        <v>197</v>
      </c>
      <c r="J8" s="9">
        <v>0.00039894474494392147</v>
      </c>
      <c r="K8" s="5">
        <v>1.053423747227957</v>
      </c>
      <c r="L8" s="6">
        <v>0</v>
      </c>
      <c r="M8" t="inlineStr">
        <is>
          <t xml:space="preserve">none</t>
        </is>
      </c>
      <c r="N8" s="7">
        <v>0.4616821637757711</v>
      </c>
      <c r="O8" s="5">
        <v>0.5192430963884562</v>
      </c>
      <c r="P8" s="7">
        <v>0.7723383649722204</v>
      </c>
      <c r="Q8" t="inlineStr">
        <is>
          <t xml:space="preserve">artifacts/hunt/cycle_7/report.html</t>
        </is>
      </c>
      <c r="R8" t="inlineStr">
        <is>
          <t xml:space="preserve">artifacts/hunt/cycle_5_ideas/research.md</t>
        </is>
      </c>
      <c r="S8" t="inlineStr">
        <is>
          <t xml:space="preserve">197 parameter sets have been evaluated on development data so far; the best of that many lucky trials would show a daily Sharpe near 0.0551 (annualized 1.05) with no real edge.; Walk-forward folds use fixed parameters (no per-fold re-optimization, to stay within the optimizer cap); for optimized candidates the test folds lie inside the window the parameters were tuned on, so only the locked OOS run is truly out of sample.; Max drawdown is measured on hourly bar-close equity; intrabar drawdowns are deeper.</t>
        </is>
      </c>
    </row>
    <row r="9">
      <c r="A9" s="6">
        <v>8</v>
      </c>
      <c r="B9" t="inlineStr">
        <is>
          <t xml:space="preserve">2026-10-26 20:51:54</t>
        </is>
      </c>
      <c r="C9" t="inlineStr">
        <is>
          <t xml:space="preserve">hunt</t>
        </is>
      </c>
      <c r="D9" t="inlineStr">
        <is>
          <t xml:space="preserve">1 hypotheses, 0 passed</t>
        </is>
      </c>
      <c r="E9" s="6">
        <v>1</v>
      </c>
      <c r="F9" t="inlineStr">
        <is>
          <t xml:space="preserve">funding-fade-wide</t>
        </is>
      </c>
      <c r="G9" s="6">
        <v>197</v>
      </c>
      <c r="H9" s="6">
        <v>100</v>
      </c>
      <c r="I9" s="6">
        <v>297</v>
      </c>
      <c r="J9" s="9">
        <v>0.0003618950899231731</v>
      </c>
      <c r="K9" s="5">
        <v>1.0512040941181464</v>
      </c>
      <c r="L9" s="6">
        <v>1</v>
      </c>
      <c r="M9" t="inlineStr">
        <is>
          <t xml:space="preserve">none</t>
        </is>
      </c>
      <c r="N9" s="7">
        <v>0.4616821637757711</v>
      </c>
      <c r="O9" s="5">
        <v>0.5192430963884562</v>
      </c>
      <c r="P9" s="7">
        <v>0.7723383649722204</v>
      </c>
      <c r="Q9" t="inlineStr">
        <is>
          <t xml:space="preserve">artifacts/hunt/cycle_8/report.html</t>
        </is>
      </c>
      <c r="R9" t="inlineStr">
        <is>
          <t xml:space="preserve">artifacts/hunt/cycle_5_ideas/research.md</t>
        </is>
      </c>
      <c r="S9" t="inlineStr">
        <is>
          <t xml:space="preserve">297 parameter sets have been evaluated on development data so far; the best of that many lucky trials would show a daily Sharpe near 0.0550 (annualized 1.05) with no real edge.; Walk-forward folds use fixed parameters (no per-fold re-optimization, to stay within the optimizer cap); for optimized candidates the test folds lie inside the window the parameters were tuned on, so only the locked OOS run is truly out of sample.; Max drawdown is measured on hourly bar-close equity; intrabar drawdowns are deeper.</t>
        </is>
      </c>
    </row>
    <row r="10">
      <c r="A10" s="6">
        <v>9</v>
      </c>
      <c r="B10" t="inlineStr">
        <is>
          <t xml:space="preserve">2026-10-26 21:58:25</t>
        </is>
      </c>
      <c r="C10" t="inlineStr">
        <is>
          <t xml:space="preserve">hunt</t>
        </is>
      </c>
      <c r="D10" t="inlineStr">
        <is>
          <t xml:space="preserve">5 hypotheses, 0 passed</t>
        </is>
      </c>
      <c r="E10" s="6">
        <v>5</v>
      </c>
      <c r="F10" t="inlineStr">
        <is>
          <t xml:space="preserve">cipher-b-dots, cipher-b-sommi-flag, cipher-b-divergence, cipher-a-ribbon, cipher-b-confluence</t>
        </is>
      </c>
      <c r="G10" s="6">
        <v>297</v>
      </c>
      <c r="H10" s="6">
        <v>5</v>
      </c>
      <c r="I10" s="6">
        <v>302</v>
      </c>
      <c r="J10" s="9">
        <v>0.0003643236196462012</v>
      </c>
      <c r="K10" s="5">
        <v>1.05664010591727</v>
      </c>
      <c r="L10" s="6">
        <v>0</v>
      </c>
      <c r="M10" t="inlineStr">
        <is>
          <t xml:space="preserve">none</t>
        </is>
      </c>
      <c r="N10" s="7">
        <v>0.4616821637757711</v>
      </c>
      <c r="O10" s="5">
        <v>0.5192430963884562</v>
      </c>
      <c r="P10" s="7">
        <v>0.7723383649722204</v>
      </c>
      <c r="Q10" t="inlineStr">
        <is>
          <t xml:space="preserve">artifacts/hunt/cycle_9/report.html</t>
        </is>
      </c>
      <c r="R10" t="inlineStr">
        <is>
          <t xml:space="preserve">artifacts/hunt/cycle_9_ideas/research.md</t>
        </is>
      </c>
      <c r="S10" t="inlineStr">
        <is>
          <t xml:space="preserve">302 parameter sets have been evaluated on development data so far; the best of that many lucky trials would show a daily Sharpe near 0.0553 (annualized 1.06) with no real edge.; Walk-forward folds use fixed parameters (no per-fold re-optimization, to stay within the optimizer cap); for optimized candidates the test folds lie inside the window the parameters were tuned on, so only the locked OOS run is truly out of sample.; Max drawdown is measured on hourly bar-close equity; intrabar drawdowns are deeper.</t>
        </is>
      </c>
    </row>
    <row r="11">
      <c r="A11" s="6">
        <v>10</v>
      </c>
      <c r="B11" t="inlineStr">
        <is>
          <t xml:space="preserve">2026-10-26 21:58:25</t>
        </is>
      </c>
      <c r="C11" t="inlineStr">
        <is>
          <t xml:space="preserve">hunt</t>
        </is>
      </c>
      <c r="D11" t="inlineStr">
        <is>
          <t xml:space="preserve">3 hypotheses, 0 passed</t>
        </is>
      </c>
      <c r="E11" s="6">
        <v>3</v>
      </c>
      <c r="F11" t="inlineStr">
        <is>
          <t xml:space="preserve">supertrend, squeeze-momentum, ichimoku-cloud</t>
        </is>
      </c>
      <c r="G11" s="6">
        <v>302</v>
      </c>
      <c r="H11" s="6">
        <v>3</v>
      </c>
      <c r="I11" s="6">
        <v>305</v>
      </c>
      <c r="J11" s="9">
        <v>0.0003618184418187235</v>
      </c>
      <c r="K11" s="5">
        <v>1.0541294234996996</v>
      </c>
      <c r="L11" s="6">
        <v>0</v>
      </c>
      <c r="M11" t="inlineStr">
        <is>
          <t xml:space="preserve">none</t>
        </is>
      </c>
      <c r="N11" s="7">
        <v>0.4616821637757711</v>
      </c>
      <c r="O11" s="5">
        <v>0.5192430963884562</v>
      </c>
      <c r="P11" s="7">
        <v>0.7723383649722204</v>
      </c>
      <c r="Q11" t="inlineStr">
        <is>
          <t xml:space="preserve">artifacts/hunt/cycle_10/report.html</t>
        </is>
      </c>
      <c r="R11" t="inlineStr">
        <is>
          <t xml:space="preserve">artifacts/hunt/cycle_9_ideas/research.md</t>
        </is>
      </c>
      <c r="S11" t="inlineStr">
        <is>
          <t xml:space="preserve">305 parameter sets have been evaluated on development data so far; the best of that many lucky trials would show a daily Sharpe near 0.0552 (annualized 1.05) with no real edge.; Walk-forward folds use fixed parameters (no per-fold re-optimization, to stay within the optimizer cap); for optimized candidates the test folds lie inside the window the parameters were tuned on, so only the locked OOS run is truly out of sample.; Max drawdown is measured on hourly bar-close equity; intrabar drawdowns are deeper.</t>
        </is>
      </c>
    </row>
    <row r="12">
      <c r="A12" s="6">
        <v>11</v>
      </c>
      <c r="B12" t="inlineStr">
        <is>
          <t xml:space="preserve">2026-10-26 22:42:29</t>
        </is>
      </c>
      <c r="C12" t="inlineStr">
        <is>
          <t xml:space="preserve">hunt</t>
        </is>
      </c>
      <c r="D12" t="inlineStr">
        <is>
          <t xml:space="preserve">4 hypotheses, 0 passed</t>
        </is>
      </c>
      <c r="E12" s="6">
        <v>4</v>
      </c>
      <c r="F12" t="inlineStr">
        <is>
          <t xml:space="preserve">dca-grid-long, dca-grid-short, dca-rsi-long, dca-trend-long</t>
        </is>
      </c>
      <c r="G12" s="6">
        <v>305</v>
      </c>
      <c r="H12" s="6">
        <v>4</v>
      </c>
      <c r="I12" s="6">
        <v>309</v>
      </c>
      <c r="J12" s="9">
        <v>0.00038265685894842876</v>
      </c>
      <c r="K12" s="5">
        <v>1.0855881141232289</v>
      </c>
      <c r="L12" s="6">
        <v>0</v>
      </c>
      <c r="M12" t="inlineStr">
        <is>
          <t xml:space="preserve">none</t>
        </is>
      </c>
      <c r="N12" s="7">
        <v>0.4616821637757711</v>
      </c>
      <c r="O12" s="5">
        <v>0.5192430963884562</v>
      </c>
      <c r="P12" s="7">
        <v>0.7723383649722204</v>
      </c>
      <c r="Q12" t="inlineStr">
        <is>
          <t xml:space="preserve">artifacts/hunt/cycle_11/report.html</t>
        </is>
      </c>
      <c r="R12" t="inlineStr">
        <is>
          <t xml:space="preserve">artifacts/hunt/cycle_11_ideas/research.md</t>
        </is>
      </c>
      <c r="S12" t="inlineStr">
        <is>
          <t xml:space="preserve">309 parameter sets have been evaluated on development data so far; the best of that many lucky trials would show a daily Sharpe near 0.0568 (annualized 1.09) with no real edge.; Walk-forward folds use fixed parameters (no per-fold re-optimization, to stay within the optimizer cap); for optimized candidates the test folds lie inside the window the parameters were tuned on, so only the locked OOS run is truly out of sample.; Max drawdown is measured on hourly bar-close equity; intrabar drawdowns are deeper.</t>
        </is>
      </c>
    </row>
    <row r="13">
      <c r="A13" s="6">
        <v>12</v>
      </c>
      <c r="B13" t="inlineStr">
        <is>
          <t xml:space="preserve">2026-10-27 18:47:12</t>
        </is>
      </c>
      <c r="C13" t="inlineStr">
        <is>
          <t xml:space="preserve">hunt</t>
        </is>
      </c>
      <c r="D13" t="inlineStr">
        <is>
          <t xml:space="preserve">3 hypotheses, 0 passed</t>
        </is>
      </c>
      <c r="E13" s="6">
        <v>3</v>
      </c>
      <c r="F13" t="inlineStr">
        <is>
          <t xml:space="preserve">cascade-fade, turmoil-reversal, round-number-bounce</t>
        </is>
      </c>
      <c r="G13" s="6">
        <v>309</v>
      </c>
      <c r="H13" s="6">
        <v>3</v>
      </c>
      <c r="I13" s="6">
        <v>312</v>
      </c>
      <c r="J13" s="9">
        <v>0.0004086671594657117</v>
      </c>
      <c r="K13" s="5">
        <v>1.1230466688532772</v>
      </c>
      <c r="L13" s="6">
        <v>0</v>
      </c>
      <c r="M13" t="inlineStr">
        <is>
          <t xml:space="preserve">none</t>
        </is>
      </c>
      <c r="N13" s="7">
        <v>0.4616821637757711</v>
      </c>
      <c r="O13" s="5">
        <v>0.5192430963884562</v>
      </c>
      <c r="P13" s="7">
        <v>0.7723383649722204</v>
      </c>
      <c r="Q13" t="inlineStr">
        <is>
          <t xml:space="preserve">artifacts/hunt/cycle_12/report.html</t>
        </is>
      </c>
      <c r="R13" t="inlineStr">
        <is>
          <t xml:space="preserve">artifacts/hunt/cycle_12_ideas/research.md</t>
        </is>
      </c>
      <c r="S13" t="inlineStr">
        <is>
          <t xml:space="preserve">312 parameter sets have been evaluated on development data so far; the best of that many lucky trials would show a daily Sharpe near 0.0588 (annualized 1.12) with no real edge.; Walk-forward folds use fixed parameters (no per-fold re-optimization, to stay within the optimizer cap); for optimized candidates the test folds lie inside the window the parameters were tuned on, so only the locked OOS run is truly out of sample.; Max drawdown is measured on hourly bar-close equity; intrabar drawdowns are deeper.</t>
        </is>
      </c>
    </row>
  </sheetData>
  <autoFilter ref="A1:S13"/>
  <pageMargins left="0.5" right="0.5" top="0.75" bottom="0.75" header="0.3" footer="0.3"/>
</worksheet>
</file>

<file path=xl/worksheets/sheet10.xml><?xml version="1.0" encoding="utf-8"?>
<worksheet xmlns="http://schemas.openxmlformats.org/spreadsheetml/2006/main">
  <sheetViews>
    <sheetView workbookViewId="0">
      <pane ySplit="1" topLeftCell="A2" activePane="bottomLeft" state="frozen"/>
      <selection pane="bottomLeft" activeCell="A2" sqref="A2"/>
    </sheetView>
  </sheetViews>
  <sheetFormatPr defaultRowHeight="13.2"/>
  <cols>
    <col min="1" max="1" width="16" customWidth="1"/>
    <col min="2" max="2" width="34" customWidth="1"/>
    <col min="3" max="3" width="28" customWidth="1"/>
    <col min="4" max="4" width="100" customWidth="1"/>
  </cols>
  <sheetData>
    <row r="1">
      <c r="A1" s="1" t="inlineStr">
        <is>
          <t xml:space="preserve">Section</t>
        </is>
      </c>
      <c r="B1" s="1" t="inlineStr">
        <is>
          <t xml:space="preserve">Setting</t>
        </is>
      </c>
      <c r="C1" s="1" t="inlineStr">
        <is>
          <t xml:space="preserve">Value</t>
        </is>
      </c>
      <c r="D1" s="1" t="inlineStr">
        <is>
          <t xml:space="preserve">Notes</t>
        </is>
      </c>
    </row>
    <row r="2">
      <c r="A2" t="inlineStr">
        <is>
          <t xml:space="preserve">Consistency</t>
        </is>
      </c>
      <c r="B2" t="inlineStr">
        <is>
          <t xml:space="preserve">Same settings in every cycle</t>
        </is>
      </c>
      <c r="C2" t="inlineStr">
        <is>
          <t xml:space="preserve">no</t>
        </is>
      </c>
      <c r="D2" t="inlineStr">
        <is>
          <t xml:space="preserve">Cycles 3, 4, 5, 6, 7, 8, 9, 10, 11 differ from cycle 12; see each cycle's report.json.</t>
        </is>
      </c>
    </row>
    <row r="3">
      <c r="A3" t="inlineStr">
        <is>
          <t xml:space="preserve">Data</t>
        </is>
      </c>
      <c r="B3" t="inlineStr">
        <is>
          <t xml:space="preserve">Symbol</t>
        </is>
      </c>
      <c r="C3" t="inlineStr">
        <is>
          <t xml:space="preserve">BTCUSDT</t>
        </is>
      </c>
      <c r="D3" t="inlineStr">
        <is>
          <t xml:space="preserve">Bybit USDT perpetual, public market data fetched locally by `fetch`.</t>
        </is>
      </c>
    </row>
    <row r="4">
      <c r="A4" t="inlineStr">
        <is>
          <t xml:space="preserve">Data</t>
        </is>
      </c>
      <c r="B4" t="inlineStr">
        <is>
          <t xml:space="preserve">Bar interval (minutes)</t>
        </is>
      </c>
      <c r="C4" s="6">
        <v>60</v>
      </c>
    </row>
    <row r="5">
      <c r="A5" t="inlineStr">
        <is>
          <t xml:space="preserve">Windows</t>
        </is>
      </c>
      <c r="B5" t="inlineStr">
        <is>
          <t xml:space="preserve">Development from</t>
        </is>
      </c>
      <c r="C5" t="inlineStr">
        <is>
          <t xml:space="preserve">2021-01-01</t>
        </is>
      </c>
      <c r="D5" t="inlineStr">
        <is>
          <t xml:space="preserve">Optimization and all kill rules use this window only.</t>
        </is>
      </c>
    </row>
    <row r="6">
      <c r="A6" t="inlineStr">
        <is>
          <t xml:space="preserve">Windows</t>
        </is>
      </c>
      <c r="B6" t="inlineStr">
        <is>
          <t xml:space="preserve">Development to (exclusive)</t>
        </is>
      </c>
      <c r="C6" t="inlineStr">
        <is>
          <t xml:space="preserve">2024-01-01</t>
        </is>
      </c>
    </row>
    <row r="7">
      <c r="A7" t="inlineStr">
        <is>
          <t xml:space="preserve">Windows</t>
        </is>
      </c>
      <c r="B7" t="inlineStr">
        <is>
          <t xml:space="preserve">Locked OOS from</t>
        </is>
      </c>
      <c r="C7" t="inlineStr">
        <is>
          <t xml:space="preserve">2024-01-01</t>
        </is>
      </c>
      <c r="D7" t="inlineStr">
        <is>
          <t xml:space="preserve">Used once per surviving candidate; every access is logged in artifacts/oos_access.log.</t>
        </is>
      </c>
    </row>
    <row r="8">
      <c r="A8" t="inlineStr">
        <is>
          <t xml:space="preserve">Windows</t>
        </is>
      </c>
      <c r="B8" t="inlineStr">
        <is>
          <t xml:space="preserve">Locked OOS to (exclusive)</t>
        </is>
      </c>
      <c r="C8" t="inlineStr">
        <is>
          <t xml:space="preserve">2026-10-26</t>
        </is>
      </c>
    </row>
    <row r="9">
      <c r="A9" t="inlineStr">
        <is>
          <t xml:space="preserve">Account</t>
        </is>
      </c>
      <c r="B9" t="inlineStr">
        <is>
          <t xml:space="preserve">Initial capital $</t>
        </is>
      </c>
      <c r="C9" s="8">
        <v>10000</v>
      </c>
      <c r="D9" t="inlineStr">
        <is>
          <t xml:space="preserve">Every run starts flat with this balance.</t>
        </is>
      </c>
    </row>
    <row r="10">
      <c r="A10" t="inlineStr">
        <is>
          <t xml:space="preserve">Costs</t>
        </is>
      </c>
      <c r="B10" t="inlineStr">
        <is>
          <t xml:space="preserve">Commission per side</t>
        </is>
      </c>
      <c r="C10" s="7">
        <v>0.0004</v>
      </c>
      <c r="D10" t="inlineStr">
        <is>
          <t xml:space="preserve">Fraction of notional, charged on entry and exit.</t>
        </is>
      </c>
    </row>
    <row r="11">
      <c r="A11" t="inlineStr">
        <is>
          <t xml:space="preserve">Costs</t>
        </is>
      </c>
      <c r="B11" t="inlineStr">
        <is>
          <t xml:space="preserve">Slippage per side</t>
        </is>
      </c>
      <c r="C11" s="7">
        <v>0.0002</v>
      </c>
      <c r="D11" t="inlineStr">
        <is>
          <t xml:space="preserve">Applied against the trade on every fill.</t>
        </is>
      </c>
    </row>
    <row r="12">
      <c r="A12" t="inlineStr">
        <is>
          <t xml:space="preserve">Costs</t>
        </is>
      </c>
      <c r="B12" t="inlineStr">
        <is>
          <t xml:space="preserve">Funding</t>
        </is>
      </c>
      <c r="C12" t="inlineStr">
        <is>
          <t xml:space="preserve">on</t>
        </is>
      </c>
      <c r="D12" t="inlineStr">
        <is>
          <t xml:space="preserve">8-hourly Bybit funding rates, settled at bar open on the position held.</t>
        </is>
      </c>
    </row>
    <row r="13">
      <c r="A13" t="inlineStr">
        <is>
          <t xml:space="preserve">Sizing</t>
        </is>
      </c>
      <c r="B13" t="inlineStr">
        <is>
          <t xml:space="preserve">Mode</t>
        </is>
      </c>
      <c r="C13" t="inlineStr">
        <is>
          <t xml:space="preserve">RiskPerTrade</t>
        </is>
      </c>
      <c r="D13" t="inlineStr">
        <is>
          <t xml:space="preserve">Every entry needs a stop; size is set so the stop loses this fraction of equity.</t>
        </is>
      </c>
    </row>
    <row r="14">
      <c r="A14" t="inlineStr">
        <is>
          <t xml:space="preserve">Sizing</t>
        </is>
      </c>
      <c r="B14" t="inlineStr">
        <is>
          <t xml:space="preserve">Risk per trade</t>
        </is>
      </c>
      <c r="C14" s="7">
        <v>0.01</v>
      </c>
    </row>
    <row r="15">
      <c r="A15" t="inlineStr">
        <is>
          <t xml:space="preserve">Risk</t>
        </is>
      </c>
      <c r="B15" t="inlineStr">
        <is>
          <t xml:space="preserve">Max leverage</t>
        </is>
      </c>
      <c r="C15" s="5">
        <v>1</v>
      </c>
      <c r="D15" t="inlineStr">
        <is>
          <t xml:space="preserve">Position notional is capped at this multiple of equity.</t>
        </is>
      </c>
    </row>
    <row r="16">
      <c r="A16" t="inlineStr">
        <is>
          <t xml:space="preserve">Risk</t>
        </is>
      </c>
      <c r="B16" t="inlineStr">
        <is>
          <t xml:space="preserve">Max-drawdown stop</t>
        </is>
      </c>
      <c r="C16" t="inlineStr">
        <is>
          <t xml:space="preserve">off</t>
        </is>
      </c>
    </row>
    <row r="17">
      <c r="A17" t="inlineStr">
        <is>
          <t xml:space="preserve">Risk</t>
        </is>
      </c>
      <c r="B17" t="inlineStr">
        <is>
          <t xml:space="preserve">Daily-loss stop</t>
        </is>
      </c>
      <c r="C17" t="inlineStr">
        <is>
          <t xml:space="preserve">off</t>
        </is>
      </c>
    </row>
    <row r="18">
      <c r="A18" t="inlineStr">
        <is>
          <t xml:space="preserve">Engine</t>
        </is>
      </c>
      <c r="B18" t="inlineStr">
        <is>
          <t xml:space="preserve">Fills</t>
        </is>
      </c>
      <c r="C18" t="inlineStr">
        <is>
          <t xml:space="preserve">next bar open</t>
        </is>
      </c>
      <c r="D18" t="inlineStr">
        <is>
          <t xml:space="preserve">Signals are taken on a bar's close and filled at the next bar's open; never on the same bar.</t>
        </is>
      </c>
    </row>
    <row r="19">
      <c r="A19" t="inlineStr">
        <is>
          <t xml:space="preserve">Engine</t>
        </is>
      </c>
      <c r="B19" t="inlineStr">
        <is>
          <t xml:space="preserve">Stops</t>
        </is>
      </c>
      <c r="C19" t="inlineStr">
        <is>
          <t xml:space="preserve">intrabar</t>
        </is>
      </c>
      <c r="D19" t="inlineStr">
        <is>
          <t xml:space="preserve">Stops rest inside the bar and fill when price trades through them.</t>
        </is>
      </c>
    </row>
    <row r="20">
      <c r="A20" t="inlineStr">
        <is>
          <t xml:space="preserve">Engine</t>
        </is>
      </c>
      <c r="B20" t="inlineStr">
        <is>
          <t xml:space="preserve">Max drawdown</t>
        </is>
      </c>
      <c r="C20" t="inlineStr">
        <is>
          <t xml:space="preserve">bar-close equity</t>
        </is>
      </c>
      <c r="D20" t="inlineStr">
        <is>
          <t xml:space="preserve">Measured on hourly bar-close equity; intrabar drawdowns are deeper.</t>
        </is>
      </c>
    </row>
    <row r="21">
      <c r="A21" t="inlineStr">
        <is>
          <t xml:space="preserve">Hunt rules</t>
        </is>
      </c>
      <c r="B21" t="inlineStr">
        <is>
          <t xml:space="preserve">Hypotheses per cycle</t>
        </is>
      </c>
      <c r="C21" s="6">
        <v>5</v>
      </c>
    </row>
    <row r="22">
      <c r="A22" t="inlineStr">
        <is>
          <t xml:space="preserve">Hunt rules</t>
        </is>
      </c>
      <c r="B22" t="inlineStr">
        <is>
          <t xml:space="preserve">Optimizer evaluation cap</t>
        </is>
      </c>
      <c r="C22" s="6">
        <v>200</v>
      </c>
      <c r="D22" t="inlineStr">
        <is>
          <t xml:space="preserve">Grids that fit under the cap (minus 2 neighbours per parameter) are searched exhaustively.</t>
        </is>
      </c>
    </row>
    <row r="23">
      <c r="A23" t="inlineStr">
        <is>
          <t xml:space="preserve">Kill rules</t>
        </is>
      </c>
      <c r="B23" t="inlineStr">
        <is>
          <t xml:space="preserve">Min profit factor</t>
        </is>
      </c>
      <c r="C23" s="5">
        <v>1.1</v>
      </c>
    </row>
    <row r="24">
      <c r="A24" t="inlineStr">
        <is>
          <t xml:space="preserve">Kill rules</t>
        </is>
      </c>
      <c r="B24" t="inlineStr">
        <is>
          <t xml:space="preserve">Min Sharpe (annualized)</t>
        </is>
      </c>
      <c r="C24" s="5">
        <v>0.5</v>
      </c>
    </row>
    <row r="25">
      <c r="A25" t="inlineStr">
        <is>
          <t xml:space="preserve">Kill rules</t>
        </is>
      </c>
      <c r="B25" t="inlineStr">
        <is>
          <t xml:space="preserve">Max drawdown</t>
        </is>
      </c>
      <c r="C25" s="7">
        <v>0.3</v>
      </c>
    </row>
    <row r="26">
      <c r="A26" t="inlineStr">
        <is>
          <t xml:space="preserve">Kill rules</t>
        </is>
      </c>
      <c r="B26" t="inlineStr">
        <is>
          <t xml:space="preserve">Min trades per year</t>
        </is>
      </c>
      <c r="C26" s="6">
        <v>50</v>
      </c>
      <c r="D26" t="inlineStr">
        <is>
          <t xml:space="preserve">150 trades on the development window.</t>
        </is>
      </c>
    </row>
    <row r="27">
      <c r="A27" t="inlineStr">
        <is>
          <t xml:space="preserve">Kill rules</t>
        </is>
      </c>
      <c r="B27" t="inlineStr">
        <is>
          <t xml:space="preserve">Max failed walk-forward quarters</t>
        </is>
      </c>
      <c r="C27" s="6">
        <v>1</v>
      </c>
      <c r="D27" t="inlineStr">
        <is>
          <t xml:space="preserve">A quarter fails when it loses money or its profit factor is below 1.</t>
        </is>
      </c>
    </row>
    <row r="28">
      <c r="A28" t="inlineStr">
        <is>
          <t xml:space="preserve">Kill rules</t>
        </is>
      </c>
      <c r="B28" t="inlineStr">
        <is>
          <t xml:space="preserve">Optimum on a grid edge</t>
        </is>
      </c>
      <c r="C28" t="inlineStr">
        <is>
          <t xml:space="preserve">rejected</t>
        </is>
      </c>
      <c r="D28" t="inlineStr">
        <is>
          <t xml:space="preserve">The best point must be interior so its neighbours can be checked.</t>
        </is>
      </c>
    </row>
    <row r="29">
      <c r="A29" t="inlineStr">
        <is>
          <t xml:space="preserve">Kill rules</t>
        </is>
      </c>
      <c r="B29" t="inlineStr">
        <is>
          <t xml:space="preserve">Plateau min profit factor</t>
        </is>
      </c>
      <c r="C29" s="5">
        <v>1.05</v>
      </c>
      <c r="D29" t="inlineStr">
        <is>
          <t xml:space="preserve">Neighbours of the optimum (±1 grid step) must keep at least this.</t>
        </is>
      </c>
    </row>
    <row r="30">
      <c r="A30" t="inlineStr">
        <is>
          <t xml:space="preserve">Kill rules</t>
        </is>
      </c>
      <c r="B30" t="inlineStr">
        <is>
          <t xml:space="preserve">Plateau min Sharpe</t>
        </is>
      </c>
      <c r="C30" s="5">
        <v>0.3</v>
      </c>
    </row>
    <row r="31">
      <c r="A31" t="inlineStr">
        <is>
          <t xml:space="preserve">Walk-forward</t>
        </is>
      </c>
      <c r="B31" t="inlineStr">
        <is>
          <t xml:space="preserve">Train / test / step (months)</t>
        </is>
      </c>
      <c r="C31" t="inlineStr">
        <is>
          <t xml:space="preserve">12 / 3 / 6</t>
        </is>
      </c>
      <c r="D31" t="inlineStr">
        <is>
          <t xml:space="preserve">Fixed parameters per fold (no re-optimization); only the locked OOS run is truly out of sample for optimized candidates.</t>
        </is>
      </c>
    </row>
    <row r="32">
      <c r="A32" t="inlineStr">
        <is>
          <t xml:space="preserve">Walk-forward</t>
        </is>
      </c>
      <c r="B32" t="inlineStr">
        <is>
          <t xml:space="preserve">Fold 1 (2022Q1)</t>
        </is>
      </c>
      <c r="C32" t="inlineStr">
        <is>
          <t xml:space="preserve">test 2022-01-01 → 2022-04-01</t>
        </is>
      </c>
      <c r="D32" t="inlineStr">
        <is>
          <t xml:space="preserve">train 2021-01-01 → 2022-01-01 (end dates exclusive)</t>
        </is>
      </c>
    </row>
    <row r="33">
      <c r="A33" t="inlineStr">
        <is>
          <t xml:space="preserve">Walk-forward</t>
        </is>
      </c>
      <c r="B33" t="inlineStr">
        <is>
          <t xml:space="preserve">Fold 2 (2022Q3)</t>
        </is>
      </c>
      <c r="C33" t="inlineStr">
        <is>
          <t xml:space="preserve">test 2022-07-01 → 2022-10-01</t>
        </is>
      </c>
      <c r="D33" t="inlineStr">
        <is>
          <t xml:space="preserve">train 2021-07-01 → 2022-07-01 (end dates exclusive)</t>
        </is>
      </c>
    </row>
    <row r="34">
      <c r="A34" t="inlineStr">
        <is>
          <t xml:space="preserve">Walk-forward</t>
        </is>
      </c>
      <c r="B34" t="inlineStr">
        <is>
          <t xml:space="preserve">Fold 3 (2023Q1)</t>
        </is>
      </c>
      <c r="C34" t="inlineStr">
        <is>
          <t xml:space="preserve">test 2023-01-01 → 2023-04-01</t>
        </is>
      </c>
      <c r="D34" t="inlineStr">
        <is>
          <t xml:space="preserve">train 2022-01-01 → 2023-01-01 (end dates exclusive)</t>
        </is>
      </c>
    </row>
    <row r="35">
      <c r="A35" t="inlineStr">
        <is>
          <t xml:space="preserve">Walk-forward</t>
        </is>
      </c>
      <c r="B35" t="inlineStr">
        <is>
          <t xml:space="preserve">Fold 4 (2023Q3)</t>
        </is>
      </c>
      <c r="C35" t="inlineStr">
        <is>
          <t xml:space="preserve">test 2023-07-01 → 2023-10-01</t>
        </is>
      </c>
      <c r="D35" t="inlineStr">
        <is>
          <t xml:space="preserve">train 2022-07-01 → 2023-07-01 (end dates exclusive)</t>
        </is>
      </c>
    </row>
    <row r="36">
      <c r="A36" t="inlineStr">
        <is>
          <t xml:space="preserve">Selection</t>
        </is>
      </c>
      <c r="B36" t="inlineStr">
        <is>
          <t xml:space="preserve">Deflated Sharpe</t>
        </is>
      </c>
      <c r="C36" t="inlineStr">
        <is>
          <t xml:space="preserve">cumulative trials</t>
        </is>
      </c>
      <c r="D36" t="inlineStr">
        <is>
          <t xml:space="preserve">Every parameter set ever evaluated counts toward the luck bar a champion must beat.</t>
        </is>
      </c>
    </row>
  </sheetData>
  <pageMargins left="0.5" right="0.5" top="0.75" bottom="0.75" header="0.3" footer="0.3"/>
</worksheet>
</file>